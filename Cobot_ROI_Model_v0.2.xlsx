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05182ed9a3b4324" /></Relationships>
</file>

<file path=xl/workbook.xml><?xml version="1.0" encoding="utf-8"?>
<x:workbook xmlns:x="http://schemas.openxmlformats.org/spreadsheetml/2006/main">
  <x:sheets>
    <x:sheet xmlns:r="http://schemas.openxmlformats.org/officeDocument/2006/relationships" name="00_Read_Me" sheetId="1" r:id="Rf787dc8d592441d3"/>
    <x:sheet xmlns:r="http://schemas.openxmlformats.org/officeDocument/2006/relationships" name="01_Assumptions" sheetId="2" r:id="Rf8873ebf472c4fec"/>
    <x:sheet xmlns:r="http://schemas.openxmlformats.org/officeDocument/2006/relationships" name="02_Cash_Flow" sheetId="3" r:id="R24c511281bfd4f77"/>
    <x:sheet xmlns:r="http://schemas.openxmlformats.org/officeDocument/2006/relationships" name="03_Scenarios" sheetId="4" r:id="R8aa90aa26bbf4356"/>
    <x:sheet xmlns:r="http://schemas.openxmlformats.org/officeDocument/2006/relationships" name="04_Sensitivity" sheetId="5" r:id="R362dfad82cd74d95"/>
    <x:sheet xmlns:r="http://schemas.openxmlformats.org/officeDocument/2006/relationships" name="05_Dashboard" sheetId="6" r:id="Rd7b03cd5d8cf4fc0"/>
    <x:sheet xmlns:r="http://schemas.openxmlformats.org/officeDocument/2006/relationships" name="06_Sources" sheetId="7" r:id="R31ec6243deec4d4a"/>
    <x:sheet xmlns:r="http://schemas.openxmlformats.org/officeDocument/2006/relationships" name="07_QA" sheetId="8" r:id="R1c0c366cda724310"/>
  </x:sheets>
</x:workbook>
</file>

<file path=xl/comments1.xml><?xml version="1.0" encoding="utf-8"?>
<x:comments xmlns:x="http://schemas.openxmlformats.org/spreadsheetml/2006/main">
  <x:authors>
    <x:author>tc={49DFFF8D-8DA4-BE78-3B03-23E7A44BB08D}</x:author>
    <x:author>tc={8CFED2F9-A170-5B95-C9BB-439AF006F24C}</x:author>
    <x:author>tc={6A392B07-2BF8-61AD-5F00-A7332B6D12AB}</x:author>
    <x:author>tc={E8608603-BD47-EEE5-0E89-DB10A432FEC6}</x:author>
    <x:author>tc={A4023248-AC1D-78D3-C10F-558F7F37D990}</x:author>
    <x:author>tc={43454E9A-726F-0720-4256-E65DA0C93521}</x:author>
    <x:author>tc={2DE7E969-D636-140F-49B1-B516155A6E9C}</x:author>
    <x:author>tc={5755F34B-C7EC-3006-5202-3C3EA8CEBC4A}</x:author>
    <x:author>tc={D63A1FEF-3B0A-7ABD-5E3B-491A8BBB88C6}</x:author>
    <x:author>tc={CD1488BA-7699-9C38-EE32-8A2A3516D052}</x:author>
    <x:author>tc={0F4D09AF-AFA5-9FEE-EAC1-EDA87F708834}</x:author>
    <x:author>tc={6586E728-90CD-1F5D-4B28-561604E6B166}</x:author>
    <x:author>tc={BFC2815F-BD91-2A60-7B5C-C2452CAA53DA}</x:author>
    <x:author>tc={3D19C615-1F70-9389-78B1-AB7B2093E7FA}</x:author>
    <x:author>tc={A05B1A12-0181-293A-CF8E-833DFF5B8005}</x:author>
    <x:author>tc={0D28A246-F04A-6B43-CD42-FEAFA76A9279}</x:author>
    <x:author>tc={4E0E335C-BC06-A902-98FD-E6F4E6E00355}</x:author>
    <x:author>tc={DCD93026-9E22-9B61-1B35-6DA63D09FEA3}</x:author>
    <x:author>tc={7F3B2D1A-8F6F-1BFC-8EC3-6EB87C84908C}</x:author>
    <x:author>tc={40A67F9B-6523-08B8-E6CC-DF0465E567F0}</x:author>
    <x:author>tc={A6710E50-88A2-DFE6-EA9A-8105F1436E18}</x:author>
    <x:author>tc={56D17E2F-E016-BFC9-23F5-6DFE29146C9A}</x:author>
    <x:author>tc={878BED53-7B0A-62DB-12E2-365F8FE3A7E0}</x:author>
    <x:author>tc={DD2C4C1D-3FC3-CE25-BE59-383034D5A6AA}</x:author>
    <x:author>tc={4BCE1D42-FC33-7B21-5889-14071CDE0587}</x:author>
    <x:author>tc={55DABD62-123A-11D0-84E0-A87DD35D8B6F}</x:author>
    <x:author>tc={D0BF6149-2963-CE3B-395E-6D07BBC0DEE2}</x:author>
    <x:author>tc={04ED9111-AB27-9533-8B4B-3D21CC082452}</x:author>
    <x:author>tc={B74EC48E-295F-3298-CC08-21240B628873}</x:author>
    <x:author>tc={EC03B7C4-25A2-C106-7857-5D274F13A024}</x:author>
    <x:author>tc={AEB607A4-A208-FC5E-A524-14680C58C9CF}</x:author>
    <x:author>tc={D40BE5B2-FF48-9044-8E91-F6790ECBD74B}</x:author>
    <x:author>tc={3CCAFBA3-1784-7146-FF2F-00BD89402F7F}</x:author>
    <x:author>tc={5A8AB3CA-3BF8-227A-ED43-A9006BB5F90A}</x:author>
    <x:author>tc={4595BAE8-F51D-6081-6CF9-53F8BABD8801}</x:author>
    <x:author>tc={CD2D1508-E4D7-9628-C2D1-B6337567460F}</x:author>
    <x:author>tc={1D533FD3-8A1E-A70E-6C31-D7D50DDFD04F}</x:author>
    <x:author>tc={77E4A7CC-EB7B-03FA-245B-EF723C818B6B}</x:author>
    <x:author>tc={70034002-099D-A1E1-7B28-943D8240AD11}</x:author>
    <x:author>tc={304C2CC2-B2BC-2230-8735-48268C62AE18}</x:author>
    <x:author>tc={272F8853-5524-DF0C-B009-F48F060067E3}</x:author>
    <x:author>tc={07790DC5-0540-8076-F95B-526B539D9329}</x:author>
    <x:author>tc={ACBA2355-5F39-09C1-5C4D-592C11D76100}</x:author>
    <x:author>tc={B48DF2C9-085F-482A-3742-2943F5E34952}</x:author>
    <x:author>tc={824FB7DF-E469-7FE3-2070-84F198B507B8}</x:author>
    <x:author>tc={50030AC2-1C80-67E8-D1DA-BAFCD56C4AC6}</x:author>
    <x:author>tc={3C924928-9511-5A9D-4C87-6F1521902ECD}</x:author>
    <x:author>tc={5942F292-D158-CB1E-18BC-FFB7414C7CAB}</x:author>
    <x:author>tc={4FAE3F37-6AC1-A00A-DB3D-51565F5DF138}</x:author>
    <x:author>tc={1660CF69-AECD-88EF-C628-F011179998AD}</x:author>
    <x:author>tc={39AE0AB0-A29B-47AA-E267-86D7BE1BA29E}</x:author>
    <x:author>tc={9EA4B71A-7A89-C222-0A89-5333B59736C1}</x:author>
    <x:author>tc={0912B3D6-AC05-2942-06BF-B3C06E571866}</x:author>
    <x:author>tc={B3C355EA-4BB7-3F9C-40BA-255B685DBAFD}</x:author>
    <x:author>tc={B0FC69AC-4470-98E6-6415-846F161A7140}</x:author>
    <x:author>tc={1A24EA2F-04DA-4D15-08C5-E03AFB8B7BCE}</x:author>
    <x:author>tc={FAC91402-5D68-DAF5-962A-85B89AB61C7D}</x:author>
    <x:author>tc={651CE3DC-227E-E15E-9BB1-32963A7CDE93}</x:author>
    <x:author>tc={BC434A19-B98D-320D-09B0-347C9D4655F6}</x:author>
    <x:author>tc={148264BB-4B39-CC6C-6409-C82C5FA09477}</x:author>
    <x:author>tc={910E2146-D206-5585-E0A7-30DA3AE1F27B}</x:author>
    <x:author>tc={D752916F-BC1E-13D7-5201-295FC73290A6}</x:author>
    <x:author>tc={40F3EA98-DBC8-F04F-93A1-55223ABC399B}</x:author>
    <x:author>tc={B5E1AFF0-B45F-E1CA-3382-574697292B50}</x:author>
    <x:author>tc={D91B765E-2C73-6324-DBD3-8C729561C3E8}</x:author>
    <x:author>tc={471CCD09-A012-75CD-DF61-961853182ECE}</x:author>
    <x:author>tc={B69FD292-4BD5-B6BF-F63A-368E0C032532}</x:author>
    <x:author>tc={E6B760C2-9027-0145-C75D-0DD66B34E2DB}</x:author>
    <x:author>tc={ABE796F5-01D7-BB93-54CB-99F6C74043C9}</x:author>
    <x:author>tc={A208FDDD-72EF-25AF-AE82-B5DAB0E1C4EA}</x:author>
    <x:author>tc={CFFBBBC5-E920-6728-4882-CE24CB0BD168}</x:author>
    <x:author>tc={3F1B83E7-0B49-A0F9-82C0-DAEA3DA689C7}</x:author>
    <x:author>tc={183B0A87-A428-C6B0-FC24-B6F2475BDC1E}</x:author>
    <x:author>tc={8F0F63B7-F13F-A9A6-D034-2C78C54F9C54}</x:author>
    <x:author>tc={A39D4973-24A6-F7A7-1689-FEE83898B3DA}</x:author>
    <x:author>tc={306F8B3B-04F8-425C-9A44-5A6485BD3949}</x:author>
    <x:author>tc={F159AAF2-78B4-B4AE-9F34-B7E4B05C4D80}</x:author>
    <x:author>tc={C4301D58-C6C4-8D18-A853-1E46445AAC6C}</x:author>
    <x:author>tc={95B7837A-6476-B260-1394-735F1640B8B9}</x:author>
    <x:author>tc={BEE52EA9-F0E5-E050-BC4D-FAD9D20E87C8}</x:author>
    <x:author>tc={48CBEF28-1078-F4EE-F460-2B8F891D8128}</x:author>
    <x:author>tc={2D454088-683E-3358-4DF7-3B3B36270C33}</x:author>
    <x:author>tc={9BE9B0AB-AE27-4DAF-8CF8-3197CCB9F40E}</x:author>
    <x:author>tc={810EF88D-F5C3-FAE3-AB6F-F0C7A8663009}</x:author>
    <x:author>tc={271B42B4-4D13-CDEF-1815-B2EDC08CED87}</x:author>
    <x:author>tc={187F42E4-EA10-BFFC-28A3-D5AB19C1DBFB}</x:author>
    <x:author>tc={39D97223-A79B-E4BC-B80D-937AE023FF78}</x:author>
    <x:author>tc={638ED0A8-67BB-F8C7-AB29-81D1CB6E68C6}</x:author>
    <x:author>tc={202EDC5A-3D63-D4FD-957F-C8A592F1D85E}</x:author>
    <x:author>tc={E9B539F0-8FAC-3296-D78D-B78F01273CF4}</x:author>
    <x:author>tc={9A9004FB-F0BB-CFDB-05E4-A5F4AB093ECA}</x:author>
    <x:author>tc={10D40259-85E9-1CF3-9E7E-E89770E354BC}</x:author>
    <x:author>tc={2DF24E06-278D-EB39-E1AB-EAE92BAAF346}</x:author>
  </x:authors>
  <x:commentList>
    <x:comment ref="D6" authorId="0">
      <x:text>
        <x:r>
          <x:t>[Threaded comment]
Your version of Excel allows you to read this threaded comment; however, any edits to it will get removed if the file is opened in a newer version of Excel. Learn more: https://go.microsoft.com/fwlink/?linkid=870924
Comment:
    Source ID: A1
Five-year horizon keeps the case compact and interview-friendly.
Editable scenario input; see 06_Sources for the audit trail.</x:t>
        </x:r>
      </x:text>
    </x:comment>
    <x:comment ref="E6" authorId="1">
      <x:text>
        <x:r>
          <x:t>[Threaded comment]
Your version of Excel allows you to read this threaded comment; however, any edits to it will get removed if the file is opened in a newer version of Excel. Learn more: https://go.microsoft.com/fwlink/?linkid=870924
Comment:
    Source ID: A1
Five-year horizon keeps the case compact and interview-friendly.
Editable scenario input; see 06_Sources for the audit trail.</x:t>
        </x:r>
      </x:text>
    </x:comment>
    <x:comment ref="F6" authorId="2">
      <x:text>
        <x:r>
          <x:t>[Threaded comment]
Your version of Excel allows you to read this threaded comment; however, any edits to it will get removed if the file is opened in a newer version of Excel. Learn more: https://go.microsoft.com/fwlink/?linkid=870924
Comment:
    Source ID: A1
Five-year horizon keeps the case compact and interview-friendly.
Editable scenario input; see 06_Sources for the audit trail.</x:t>
        </x:r>
      </x:text>
    </x:comment>
    <x:comment ref="D7" authorId="3">
      <x:text>
        <x:r>
          <x:t>[Threaded comment]
Your version of Excel allows you to read this threaded comment; however, any edits to it will get removed if the file is opened in a newer version of Excel. Learn more: https://go.microsoft.com/fwlink/?linkid=870924
Comment:
    Source ID: A2
Illustrative hurdle-rate range; replace with company WACC or approved investment hurdle.
Editable scenario input; see 06_Sources for the audit trail.</x:t>
        </x:r>
      </x:text>
    </x:comment>
    <x:comment ref="E7" authorId="4">
      <x:text>
        <x:r>
          <x:t>[Threaded comment]
Your version of Excel allows you to read this threaded comment; however, any edits to it will get removed if the file is opened in a newer version of Excel. Learn more: https://go.microsoft.com/fwlink/?linkid=870924
Comment:
    Source ID: A2
Illustrative hurdle-rate range; replace with company WACC or approved investment hurdle.
Editable scenario input; see 06_Sources for the audit trail.</x:t>
        </x:r>
      </x:text>
    </x:comment>
    <x:comment ref="F7" authorId="5">
      <x:text>
        <x:r>
          <x:t>[Threaded comment]
Your version of Excel allows you to read this threaded comment; however, any edits to it will get removed if the file is opened in a newer version of Excel. Learn more: https://go.microsoft.com/fwlink/?linkid=870924
Comment:
    Source ID: A2
Illustrative hurdle-rate range; replace with company WACC or approved investment hurdle.
Editable scenario input; see 06_Sources for the audit trail.</x:t>
        </x:r>
      </x:text>
    </x:comment>
    <x:comment ref="D8" authorId="6">
      <x:text>
        <x:r>
          <x:t>[Threaded comment]
Your version of Excel allows you to read this threaded comment; however, any edits to it will get removed if the file is opened in a newer version of Excel. Learn more: https://go.microsoft.com/fwlink/?linkid=870924
Comment:
    Source ID: S4
Swedish corporate income tax rate used as a simplified cash-tax assumption.
Editable scenario input; see 06_Sources for the audit trail.</x:t>
        </x:r>
      </x:text>
    </x:comment>
    <x:comment ref="E8" authorId="7">
      <x:text>
        <x:r>
          <x:t>[Threaded comment]
Your version of Excel allows you to read this threaded comment; however, any edits to it will get removed if the file is opened in a newer version of Excel. Learn more: https://go.microsoft.com/fwlink/?linkid=870924
Comment:
    Source ID: S4
Swedish corporate income tax rate used as a simplified cash-tax assumption.
Editable scenario input; see 06_Sources for the audit trail.</x:t>
        </x:r>
      </x:text>
    </x:comment>
    <x:comment ref="F8" authorId="8">
      <x:text>
        <x:r>
          <x:t>[Threaded comment]
Your version of Excel allows you to read this threaded comment; however, any edits to it will get removed if the file is opened in a newer version of Excel. Learn more: https://go.microsoft.com/fwlink/?linkid=870924
Comment:
    Source ID: S4
Swedish corporate income tax rate used as a simplified cash-tax assumption.
Editable scenario input; see 06_Sources for the audit trail.</x:t>
        </x:r>
      </x:text>
    </x:comment>
    <x:comment ref="D9" authorId="9">
      <x:text>
        <x:r>
          <x:t>[Threaded comment]
Your version of Excel allows you to read this threaded comment; however, any edits to it will get removed if the file is opened in a newer version of Excel. Learn more: https://go.microsoft.com/fwlink/?linkid=870924
Comment:
    Source ID: A3
Straight-line depreciation for modelling simplicity; confirm tax treatment.
Editable scenario input; see 06_Sources for the audit trail.</x:t>
        </x:r>
      </x:text>
    </x:comment>
    <x:comment ref="E9" authorId="10">
      <x:text>
        <x:r>
          <x:t>[Threaded comment]
Your version of Excel allows you to read this threaded comment; however, any edits to it will get removed if the file is opened in a newer version of Excel. Learn more: https://go.microsoft.com/fwlink/?linkid=870924
Comment:
    Source ID: A3
Straight-line depreciation for modelling simplicity; confirm tax treatment.
Editable scenario input; see 06_Sources for the audit trail.</x:t>
        </x:r>
      </x:text>
    </x:comment>
    <x:comment ref="F9" authorId="11">
      <x:text>
        <x:r>
          <x:t>[Threaded comment]
Your version of Excel allows you to read this threaded comment; however, any edits to it will get removed if the file is opened in a newer version of Excel. Learn more: https://go.microsoft.com/fwlink/?linkid=870924
Comment:
    Source ID: A3
Straight-line depreciation for modelling simplicity; confirm tax treatment.
Editable scenario input; see 06_Sources for the audit trail.</x:t>
        </x:r>
      </x:text>
    </x:comment>
    <x:comment ref="D10" authorId="12">
      <x:text>
        <x:r>
          <x:t>[Threaded comment]
Your version of Excel allows you to read this threaded comment; however, any edits to it will get removed if the file is opened in a newer version of Excel. Learn more: https://go.microsoft.com/fwlink/?linkid=870924
Comment:
    Source ID: A4
Primary operating-condition driver; confirm production schedule.
Editable scenario input; see 06_Sources for the audit trail.</x:t>
        </x:r>
      </x:text>
    </x:comment>
    <x:comment ref="E10" authorId="13">
      <x:text>
        <x:r>
          <x:t>[Threaded comment]
Your version of Excel allows you to read this threaded comment; however, any edits to it will get removed if the file is opened in a newer version of Excel. Learn more: https://go.microsoft.com/fwlink/?linkid=870924
Comment:
    Source ID: A4
Primary operating-condition driver; confirm production schedule.
Editable scenario input; see 06_Sources for the audit trail.</x:t>
        </x:r>
      </x:text>
    </x:comment>
    <x:comment ref="F10" authorId="14">
      <x:text>
        <x:r>
          <x:t>[Threaded comment]
Your version of Excel allows you to read this threaded comment; however, any edits to it will get removed if the file is opened in a newer version of Excel. Learn more: https://go.microsoft.com/fwlink/?linkid=870924
Comment:
    Source ID: A4
Primary operating-condition driver; confirm production schedule.
Editable scenario input; see 06_Sources for the audit trail.</x:t>
        </x:r>
      </x:text>
    </x:comment>
    <x:comment ref="D11" authorId="15">
      <x:text>
        <x:r>
          <x:t>[Threaded comment]
Your version of Excel allows you to read this threaded comment; however, any edits to it will get removed if the file is opened in a newer version of Excel. Learn more: https://go.microsoft.com/fwlink/?linkid=870924
Comment:
    Source ID: A5
Scenario range for planned production days.
Editable scenario input; see 06_Sources for the audit trail.</x:t>
        </x:r>
      </x:text>
    </x:comment>
    <x:comment ref="E11" authorId="16">
      <x:text>
        <x:r>
          <x:t>[Threaded comment]
Your version of Excel allows you to read this threaded comment; however, any edits to it will get removed if the file is opened in a newer version of Excel. Learn more: https://go.microsoft.com/fwlink/?linkid=870924
Comment:
    Source ID: A5
Scenario range for planned production days.
Editable scenario input; see 06_Sources for the audit trail.</x:t>
        </x:r>
      </x:text>
    </x:comment>
    <x:comment ref="F11" authorId="17">
      <x:text>
        <x:r>
          <x:t>[Threaded comment]
Your version of Excel allows you to read this threaded comment; however, any edits to it will get removed if the file is opened in a newer version of Excel. Learn more: https://go.microsoft.com/fwlink/?linkid=870924
Comment:
    Source ID: A5
Scenario range for planned production days.
Editable scenario input; see 06_Sources for the audit trail.</x:t>
        </x:r>
      </x:text>
    </x:comment>
    <x:comment ref="D12" authorId="18">
      <x:text>
        <x:r>
          <x:t>[Threaded comment]
Your version of Excel allows you to read this threaded comment; however, any edits to it will get removed if the file is opened in a newer version of Excel. Learn more: https://go.microsoft.com/fwlink/?linkid=870924
Comment:
    Source ID: A6
Excludes planned breaks and non-productive time.
Editable scenario input; see 06_Sources for the audit trail.</x:t>
        </x:r>
      </x:text>
    </x:comment>
    <x:comment ref="E12" authorId="19">
      <x:text>
        <x:r>
          <x:t>[Threaded comment]
Your version of Excel allows you to read this threaded comment; however, any edits to it will get removed if the file is opened in a newer version of Excel. Learn more: https://go.microsoft.com/fwlink/?linkid=870924
Comment:
    Source ID: A6
Excludes planned breaks and non-productive time.
Editable scenario input; see 06_Sources for the audit trail.</x:t>
        </x:r>
      </x:text>
    </x:comment>
    <x:comment ref="F12" authorId="20">
      <x:text>
        <x:r>
          <x:t>[Threaded comment]
Your version of Excel allows you to read this threaded comment; however, any edits to it will get removed if the file is opened in a newer version of Excel. Learn more: https://go.microsoft.com/fwlink/?linkid=870924
Comment:
    Source ID: A6
Excludes planned breaks and non-productive time.
Editable scenario input; see 06_Sources for the audit trail.</x:t>
        </x:r>
      </x:text>
    </x:comment>
    <x:comment ref="D13" authorId="21">
      <x:text>
        <x:r>
          <x:t>[Threaded comment]
Your version of Excel allows you to read this threaded comment; however, any edits to it will get removed if the file is opened in a newer version of Excel. Learn more: https://go.microsoft.com/fwlink/?linkid=870924
Comment:
    Source ID: A7
One person currently allocated to manual palletizing per shift.
Editable scenario input; see 06_Sources for the audit trail.</x:t>
        </x:r>
      </x:text>
    </x:comment>
    <x:comment ref="E13" authorId="22">
      <x:text>
        <x:r>
          <x:t>[Threaded comment]
Your version of Excel allows you to read this threaded comment; however, any edits to it will get removed if the file is opened in a newer version of Excel. Learn more: https://go.microsoft.com/fwlink/?linkid=870924
Comment:
    Source ID: A7
One person currently allocated to manual palletizing per shift.
Editable scenario input; see 06_Sources for the audit trail.</x:t>
        </x:r>
      </x:text>
    </x:comment>
    <x:comment ref="F13" authorId="23">
      <x:text>
        <x:r>
          <x:t>[Threaded comment]
Your version of Excel allows you to read this threaded comment; however, any edits to it will get removed if the file is opened in a newer version of Excel. Learn more: https://go.microsoft.com/fwlink/?linkid=870924
Comment:
    Source ID: A7
One person currently allocated to manual palletizing per shift.
Editable scenario input; see 06_Sources for the audit trail.</x:t>
        </x:r>
      </x:text>
    </x:comment>
    <x:comment ref="D14" authorId="24">
      <x:text>
        <x:r>
          <x:t>[Threaded comment]
Your version of Excel allows you to read this threaded comment; however, any edits to it will get removed if the file is opened in a newer version of Excel. Learn more: https://go.microsoft.com/fwlink/?linkid=870924
Comment:
    Source ID: A8
Share of addressable labor cost that can truly be removed or redeployed to measured value-added work.
Editable scenario input; see 06_Sources for the audit trail.</x:t>
        </x:r>
      </x:text>
    </x:comment>
    <x:comment ref="E14" authorId="25">
      <x:text>
        <x:r>
          <x:t>[Threaded comment]
Your version of Excel allows you to read this threaded comment; however, any edits to it will get removed if the file is opened in a newer version of Excel. Learn more: https://go.microsoft.com/fwlink/?linkid=870924
Comment:
    Source ID: A8
Share of addressable labor cost that can truly be removed or redeployed to measured value-added work.
Editable scenario input; see 06_Sources for the audit trail.</x:t>
        </x:r>
      </x:text>
    </x:comment>
    <x:comment ref="F14" authorId="26">
      <x:text>
        <x:r>
          <x:t>[Threaded comment]
Your version of Excel allows you to read this threaded comment; however, any edits to it will get removed if the file is opened in a newer version of Excel. Learn more: https://go.microsoft.com/fwlink/?linkid=870924
Comment:
    Source ID: A8
Share of addressable labor cost that can truly be removed or redeployed to measured value-added work.
Editable scenario input; see 06_Sources for the audit trail.</x:t>
        </x:r>
      </x:text>
    </x:comment>
    <x:comment ref="D15" authorId="27">
      <x:text>
        <x:r>
          <x:t>[Threaded comment]
Your version of Excel allows you to read this threaded comment; however, any edits to it will get removed if the file is opened in a newer version of Excel. Learn more: https://go.microsoft.com/fwlink/?linkid=870924
Comment:
    Source ID: A9
Availability assumption pending site trial and maintenance plan.
Editable scenario input; see 06_Sources for the audit trail.</x:t>
        </x:r>
      </x:text>
    </x:comment>
    <x:comment ref="E15" authorId="28">
      <x:text>
        <x:r>
          <x:t>[Threaded comment]
Your version of Excel allows you to read this threaded comment; however, any edits to it will get removed if the file is opened in a newer version of Excel. Learn more: https://go.microsoft.com/fwlink/?linkid=870924
Comment:
    Source ID: A9
Availability assumption pending site trial and maintenance plan.
Editable scenario input; see 06_Sources for the audit trail.</x:t>
        </x:r>
      </x:text>
    </x:comment>
    <x:comment ref="F15" authorId="29">
      <x:text>
        <x:r>
          <x:t>[Threaded comment]
Your version of Excel allows you to read this threaded comment; however, any edits to it will get removed if the file is opened in a newer version of Excel. Learn more: https://go.microsoft.com/fwlink/?linkid=870924
Comment:
    Source ID: A9
Availability assumption pending site trial and maintenance plan.
Editable scenario input; see 06_Sources for the audit trail.</x:t>
        </x:r>
      </x:text>
    </x:comment>
    <x:comment ref="D16" authorId="30">
      <x:text>
        <x:r>
          <x:t>[Threaded comment]
Your version of Excel allows you to read this threaded comment; however, any edits to it will get removed if the file is opened in a newer version of Excel. Learn more: https://go.microsoft.com/fwlink/?linkid=870924
Comment:
    Source ID: A10
Scenario range; not a forecast.
Editable scenario input; see 06_Sources for the audit trail.</x:t>
        </x:r>
      </x:text>
    </x:comment>
    <x:comment ref="E16" authorId="31">
      <x:text>
        <x:r>
          <x:t>[Threaded comment]
Your version of Excel allows you to read this threaded comment; however, any edits to it will get removed if the file is opened in a newer version of Excel. Learn more: https://go.microsoft.com/fwlink/?linkid=870924
Comment:
    Source ID: A10
Scenario range; not a forecast.
Editable scenario input; see 06_Sources for the audit trail.</x:t>
        </x:r>
      </x:text>
    </x:comment>
    <x:comment ref="F16" authorId="32">
      <x:text>
        <x:r>
          <x:t>[Threaded comment]
Your version of Excel allows you to read this threaded comment; however, any edits to it will get removed if the file is opened in a newer version of Excel. Learn more: https://go.microsoft.com/fwlink/?linkid=870924
Comment:
    Source ID: A10
Scenario range; not a forecast.
Editable scenario input; see 06_Sources for the audit trail.</x:t>
        </x:r>
      </x:text>
    </x:comment>
    <x:comment ref="D17" authorId="33">
      <x:text>
        <x:r>
          <x:t>[Threaded comment]
Your version of Excel allows you to read this threaded comment; however, any edits to it will get removed if the file is opened in a newer version of Excel. Learn more: https://go.microsoft.com/fwlink/?linkid=870924
Comment:
    Source ID: S3 / A11
Rounded scenario range anchored to public labor-cost data; replace with site payroll and overhead.
Editable scenario input; see 06_Sources for the audit trail.</x:t>
        </x:r>
      </x:text>
    </x:comment>
    <x:comment ref="E17" authorId="34">
      <x:text>
        <x:r>
          <x:t>[Threaded comment]
Your version of Excel allows you to read this threaded comment; however, any edits to it will get removed if the file is opened in a newer version of Excel. Learn more: https://go.microsoft.com/fwlink/?linkid=870924
Comment:
    Source ID: S3 / A11
Rounded scenario range anchored to public labor-cost data; replace with site payroll and overhead.
Editable scenario input; see 06_Sources for the audit trail.</x:t>
        </x:r>
      </x:text>
    </x:comment>
    <x:comment ref="F17" authorId="35">
      <x:text>
        <x:r>
          <x:t>[Threaded comment]
Your version of Excel allows you to read this threaded comment; however, any edits to it will get removed if the file is opened in a newer version of Excel. Learn more: https://go.microsoft.com/fwlink/?linkid=870924
Comment:
    Source ID: S3 / A11
Rounded scenario range anchored to public labor-cost data; replace with site payroll and overhead.
Editable scenario input; see 06_Sources for the audit trail.</x:t>
        </x:r>
      </x:text>
    </x:comment>
    <x:comment ref="D18" authorId="36">
      <x:text>
        <x:r>
          <x:t>[Threaded comment]
Your version of Excel allows you to read this threaded comment; however, any edits to it will get removed if the file is opened in a newer version of Excel. Learn more: https://go.microsoft.com/fwlink/?linkid=870924
Comment:
    Source ID: S2
UR case study reports handling products up to 12 kg.
Editable scenario input; see 06_Sources for the audit trail.</x:t>
        </x:r>
      </x:text>
    </x:comment>
    <x:comment ref="E18" authorId="37">
      <x:text>
        <x:r>
          <x:t>[Threaded comment]
Your version of Excel allows you to read this threaded comment; however, any edits to it will get removed if the file is opened in a newer version of Excel. Learn more: https://go.microsoft.com/fwlink/?linkid=870924
Comment:
    Source ID: S2
UR case study reports handling products up to 12 kg.
Editable scenario input; see 06_Sources for the audit trail.</x:t>
        </x:r>
      </x:text>
    </x:comment>
    <x:comment ref="F18" authorId="38">
      <x:text>
        <x:r>
          <x:t>[Threaded comment]
Your version of Excel allows you to read this threaded comment; however, any edits to it will get removed if the file is opened in a newer version of Excel. Learn more: https://go.microsoft.com/fwlink/?linkid=870924
Comment:
    Source ID: S2
UR case study reports handling products up to 12 kg.
Editable scenario input; see 06_Sources for the audit trail.</x:t>
        </x:r>
      </x:text>
    </x:comment>
    <x:comment ref="D19" authorId="39">
      <x:text>
        <x:r>
          <x:t>[Threaded comment]
Your version of Excel allows you to read this threaded comment; however, any edits to it will get removed if the file is opened in a newer version of Excel. Learn more: https://go.microsoft.com/fwlink/?linkid=870924
Comment:
    Source ID: A12
Placeholder for gripper and tooling; verify supplier specification.
Editable scenario input; see 06_Sources for the audit trail.</x:t>
        </x:r>
      </x:text>
    </x:comment>
    <x:comment ref="E19" authorId="40">
      <x:text>
        <x:r>
          <x:t>[Threaded comment]
Your version of Excel allows you to read this threaded comment; however, any edits to it will get removed if the file is opened in a newer version of Excel. Learn more: https://go.microsoft.com/fwlink/?linkid=870924
Comment:
    Source ID: A12
Placeholder for gripper and tooling; verify supplier specification.
Editable scenario input; see 06_Sources for the audit trail.</x:t>
        </x:r>
      </x:text>
    </x:comment>
    <x:comment ref="F19" authorId="41">
      <x:text>
        <x:r>
          <x:t>[Threaded comment]
Your version of Excel allows you to read this threaded comment; however, any edits to it will get removed if the file is opened in a newer version of Excel. Learn more: https://go.microsoft.com/fwlink/?linkid=870924
Comment:
    Source ID: A12
Placeholder for gripper and tooling; verify supplier specification.
Editable scenario input; see 06_Sources for the audit trail.</x:t>
        </x:r>
      </x:text>
    </x:comment>
    <x:comment ref="D20" authorId="42">
      <x:text>
        <x:r>
          <x:t>[Threaded comment]
Your version of Excel allows you to read this threaded comment; however, any edits to it will get removed if the file is opened in a newer version of Excel. Learn more: https://go.microsoft.com/fwlink/?linkid=870924
Comment:
    Source ID: S1
Conservative nominal payload; UR states up to 25 kg under boundary conditions.
Editable scenario input; see 06_Sources for the audit trail.</x:t>
        </x:r>
      </x:text>
    </x:comment>
    <x:comment ref="E20" authorId="43">
      <x:text>
        <x:r>
          <x:t>[Threaded comment]
Your version of Excel allows you to read this threaded comment; however, any edits to it will get removed if the file is opened in a newer version of Excel. Learn more: https://go.microsoft.com/fwlink/?linkid=870924
Comment:
    Source ID: S1
Conservative nominal payload; UR states up to 25 kg under boundary conditions.
Editable scenario input; see 06_Sources for the audit trail.</x:t>
        </x:r>
      </x:text>
    </x:comment>
    <x:comment ref="F20" authorId="44">
      <x:text>
        <x:r>
          <x:t>[Threaded comment]
Your version of Excel allows you to read this threaded comment; however, any edits to it will get removed if the file is opened in a newer version of Excel. Learn more: https://go.microsoft.com/fwlink/?linkid=870924
Comment:
    Source ID: S1
Conservative nominal payload; UR states up to 25 kg under boundary conditions.
Editable scenario input; see 06_Sources for the audit trail.</x:t>
        </x:r>
      </x:text>
    </x:comment>
    <x:comment ref="D21" authorId="45">
      <x:text>
        <x:r>
          <x:t>[Threaded comment]
Your version of Excel allows you to read this threaded comment; however, any edits to it will get removed if the file is opened in a newer version of Excel. Learn more: https://go.microsoft.com/fwlink/?linkid=870924
Comment:
    Source ID: S1
Published UR20 reach.
Editable scenario input; see 06_Sources for the audit trail.</x:t>
        </x:r>
      </x:text>
    </x:comment>
    <x:comment ref="E21" authorId="46">
      <x:text>
        <x:r>
          <x:t>[Threaded comment]
Your version of Excel allows you to read this threaded comment; however, any edits to it will get removed if the file is opened in a newer version of Excel. Learn more: https://go.microsoft.com/fwlink/?linkid=870924
Comment:
    Source ID: S1
Published UR20 reach.
Editable scenario input; see 06_Sources for the audit trail.</x:t>
        </x:r>
      </x:text>
    </x:comment>
    <x:comment ref="F21" authorId="47">
      <x:text>
        <x:r>
          <x:t>[Threaded comment]
Your version of Excel allows you to read this threaded comment; however, any edits to it will get removed if the file is opened in a newer version of Excel. Learn more: https://go.microsoft.com/fwlink/?linkid=870924
Comment:
    Source ID: S1
Published UR20 reach.
Editable scenario input; see 06_Sources for the audit trail.</x:t>
        </x:r>
      </x:text>
    </x:comment>
    <x:comment ref="D22" authorId="48">
      <x:text>
        <x:r>
          <x:t>[Threaded comment]
Your version of Excel allows you to read this threaded comment; however, any edits to it will get removed if the file is opened in a newer version of Excel. Learn more: https://go.microsoft.com/fwlink/?linkid=870924
Comment:
    Source ID: A13
Current process demand; must be measured on site.
Editable scenario input; see 06_Sources for the audit trail.</x:t>
        </x:r>
      </x:text>
    </x:comment>
    <x:comment ref="E22" authorId="49">
      <x:text>
        <x:r>
          <x:t>[Threaded comment]
Your version of Excel allows you to read this threaded comment; however, any edits to it will get removed if the file is opened in a newer version of Excel. Learn more: https://go.microsoft.com/fwlink/?linkid=870924
Comment:
    Source ID: A13
Current process demand; must be measured on site.
Editable scenario input; see 06_Sources for the audit trail.</x:t>
        </x:r>
      </x:text>
    </x:comment>
    <x:comment ref="F22" authorId="50">
      <x:text>
        <x:r>
          <x:t>[Threaded comment]
Your version of Excel allows you to read this threaded comment; however, any edits to it will get removed if the file is opened in a newer version of Excel. Learn more: https://go.microsoft.com/fwlink/?linkid=870924
Comment:
    Source ID: A13
Current process demand; must be measured on site.
Editable scenario input; see 06_Sources for the audit trail.</x:t>
        </x:r>
      </x:text>
    </x:comment>
    <x:comment ref="D23" authorId="51">
      <x:text>
        <x:r>
          <x:t>[Threaded comment]
Your version of Excel allows you to read this threaded comment; however, any edits to it will get removed if the file is opened in a newer version of Excel. Learn more: https://go.microsoft.com/fwlink/?linkid=870924
Comment:
    Source ID: A14
Illustrative cycle-rate range; requires layout and cycle-time study.
Editable scenario input; see 06_Sources for the audit trail.</x:t>
        </x:r>
      </x:text>
    </x:comment>
    <x:comment ref="E23" authorId="52">
      <x:text>
        <x:r>
          <x:t>[Threaded comment]
Your version of Excel allows you to read this threaded comment; however, any edits to it will get removed if the file is opened in a newer version of Excel. Learn more: https://go.microsoft.com/fwlink/?linkid=870924
Comment:
    Source ID: A14
Illustrative cycle-rate range; requires layout and cycle-time study.
Editable scenario input; see 06_Sources for the audit trail.</x:t>
        </x:r>
      </x:text>
    </x:comment>
    <x:comment ref="F23" authorId="53">
      <x:text>
        <x:r>
          <x:t>[Threaded comment]
Your version of Excel allows you to read this threaded comment; however, any edits to it will get removed if the file is opened in a newer version of Excel. Learn more: https://go.microsoft.com/fwlink/?linkid=870924
Comment:
    Source ID: A14
Illustrative cycle-rate range; requires layout and cycle-time study.
Editable scenario input; see 06_Sources for the audit trail.</x:t>
        </x:r>
      </x:text>
    </x:comment>
    <x:comment ref="D24" authorId="54">
      <x:text>
        <x:r>
          <x:t>[Threaded comment]
Your version of Excel allows you to read this threaded comment; however, any edits to it will get removed if the file is opened in a newer version of Excel. Learn more: https://go.microsoft.com/fwlink/?linkid=870924
Comment:
    Source ID: S1
UR20 data sheet: 750 W maximum and about 500 W in a typical program; 300 W used as upside case.
Editable scenario input; see 06_Sources for the audit trail.</x:t>
        </x:r>
      </x:text>
    </x:comment>
    <x:comment ref="E24" authorId="55">
      <x:text>
        <x:r>
          <x:t>[Threaded comment]
Your version of Excel allows you to read this threaded comment; however, any edits to it will get removed if the file is opened in a newer version of Excel. Learn more: https://go.microsoft.com/fwlink/?linkid=870924
Comment:
    Source ID: S1
UR20 data sheet: 750 W maximum and about 500 W in a typical program; 300 W used as upside case.
Editable scenario input; see 06_Sources for the audit trail.</x:t>
        </x:r>
      </x:text>
    </x:comment>
    <x:comment ref="F24" authorId="56">
      <x:text>
        <x:r>
          <x:t>[Threaded comment]
Your version of Excel allows you to read this threaded comment; however, any edits to it will get removed if the file is opened in a newer version of Excel. Learn more: https://go.microsoft.com/fwlink/?linkid=870924
Comment:
    Source ID: S1
UR20 data sheet: 750 W maximum and about 500 W in a typical program; 300 W used as upside case.
Editable scenario input; see 06_Sources for the audit trail.</x:t>
        </x:r>
      </x:text>
    </x:comment>
    <x:comment ref="D25" authorId="57">
      <x:text>
        <x:r>
          <x:t>[Threaded comment]
Your version of Excel allows you to read this threaded comment; however, any edits to it will get removed if the file is opened in a newer version of Excel. Learn more: https://go.microsoft.com/fwlink/?linkid=870924
Comment:
    Source ID: A15
Illustrative only — obtain supplier quote.
Editable scenario input; see 06_Sources for the audit trail.</x:t>
        </x:r>
      </x:text>
    </x:comment>
    <x:comment ref="E25" authorId="58">
      <x:text>
        <x:r>
          <x:t>[Threaded comment]
Your version of Excel allows you to read this threaded comment; however, any edits to it will get removed if the file is opened in a newer version of Excel. Learn more: https://go.microsoft.com/fwlink/?linkid=870924
Comment:
    Source ID: A15
Illustrative only — obtain supplier quote.
Editable scenario input; see 06_Sources for the audit trail.</x:t>
        </x:r>
      </x:text>
    </x:comment>
    <x:comment ref="F25" authorId="59">
      <x:text>
        <x:r>
          <x:t>[Threaded comment]
Your version of Excel allows you to read this threaded comment; however, any edits to it will get removed if the file is opened in a newer version of Excel. Learn more: https://go.microsoft.com/fwlink/?linkid=870924
Comment:
    Source ID: A15
Illustrative only — obtain supplier quote.
Editable scenario input; see 06_Sources for the audit trail.</x:t>
        </x:r>
      </x:text>
    </x:comment>
    <x:comment ref="D26" authorId="60">
      <x:text>
        <x:r>
          <x:t>[Threaded comment]
Your version of Excel allows you to read this threaded comment; however, any edits to it will get removed if the file is opened in a newer version of Excel. Learn more: https://go.microsoft.com/fwlink/?linkid=870924
Comment:
    Source ID: A16
Illustrative only — obtain supplier quote.
Editable scenario input; see 06_Sources for the audit trail.</x:t>
        </x:r>
      </x:text>
    </x:comment>
    <x:comment ref="E26" authorId="61">
      <x:text>
        <x:r>
          <x:t>[Threaded comment]
Your version of Excel allows you to read this threaded comment; however, any edits to it will get removed if the file is opened in a newer version of Excel. Learn more: https://go.microsoft.com/fwlink/?linkid=870924
Comment:
    Source ID: A16
Illustrative only — obtain supplier quote.
Editable scenario input; see 06_Sources for the audit trail.</x:t>
        </x:r>
      </x:text>
    </x:comment>
    <x:comment ref="F26" authorId="62">
      <x:text>
        <x:r>
          <x:t>[Threaded comment]
Your version of Excel allows you to read this threaded comment; however, any edits to it will get removed if the file is opened in a newer version of Excel. Learn more: https://go.microsoft.com/fwlink/?linkid=870924
Comment:
    Source ID: A16
Illustrative only — obtain supplier quote.
Editable scenario input; see 06_Sources for the audit trail.</x:t>
        </x:r>
      </x:text>
    </x:comment>
    <x:comment ref="D27" authorId="63">
      <x:text>
        <x:r>
          <x:t>[Threaded comment]
Your version of Excel allows you to read this threaded comment; however, any edits to it will get removed if the file is opened in a newer version of Excel. Learn more: https://go.microsoft.com/fwlink/?linkid=870924
Comment:
    Source ID: A17
Illustrative only — validate risk assessment and line-interface scope.
Editable scenario input; see 06_Sources for the audit trail.</x:t>
        </x:r>
      </x:text>
    </x:comment>
    <x:comment ref="E27" authorId="64">
      <x:text>
        <x:r>
          <x:t>[Threaded comment]
Your version of Excel allows you to read this threaded comment; however, any edits to it will get removed if the file is opened in a newer version of Excel. Learn more: https://go.microsoft.com/fwlink/?linkid=870924
Comment:
    Source ID: A17
Illustrative only — validate risk assessment and line-interface scope.
Editable scenario input; see 06_Sources for the audit trail.</x:t>
        </x:r>
      </x:text>
    </x:comment>
    <x:comment ref="F27" authorId="65">
      <x:text>
        <x:r>
          <x:t>[Threaded comment]
Your version of Excel allows you to read this threaded comment; however, any edits to it will get removed if the file is opened in a newer version of Excel. Learn more: https://go.microsoft.com/fwlink/?linkid=870924
Comment:
    Source ID: A17
Illustrative only — validate risk assessment and line-interface scope.
Editable scenario input; see 06_Sources for the audit trail.</x:t>
        </x:r>
      </x:text>
    </x:comment>
    <x:comment ref="D28" authorId="66">
      <x:text>
        <x:r>
          <x:t>[Threaded comment]
Your version of Excel allows you to read this threaded comment; however, any edits to it will get removed if the file is opened in a newer version of Excel. Learn more: https://go.microsoft.com/fwlink/?linkid=870924
Comment:
    Source ID: A18
Illustrative only — obtain integrator quote.
Editable scenario input; see 06_Sources for the audit trail.</x:t>
        </x:r>
      </x:text>
    </x:comment>
    <x:comment ref="E28" authorId="67">
      <x:text>
        <x:r>
          <x:t>[Threaded comment]
Your version of Excel allows you to read this threaded comment; however, any edits to it will get removed if the file is opened in a newer version of Excel. Learn more: https://go.microsoft.com/fwlink/?linkid=870924
Comment:
    Source ID: A18
Illustrative only — obtain integrator quote.
Editable scenario input; see 06_Sources for the audit trail.</x:t>
        </x:r>
      </x:text>
    </x:comment>
    <x:comment ref="F28" authorId="68">
      <x:text>
        <x:r>
          <x:t>[Threaded comment]
Your version of Excel allows you to read this threaded comment; however, any edits to it will get removed if the file is opened in a newer version of Excel. Learn more: https://go.microsoft.com/fwlink/?linkid=870924
Comment:
    Source ID: A18
Illustrative only — obtain integrator quote.
Editable scenario input; see 06_Sources for the audit trail.</x:t>
        </x:r>
      </x:text>
    </x:comment>
    <x:comment ref="D29" authorId="69">
      <x:text>
        <x:r>
          <x:t>[Threaded comment]
Your version of Excel allows you to read this threaded comment; however, any edits to it will get removed if the file is opened in a newer version of Excel. Learn more: https://go.microsoft.com/fwlink/?linkid=870924
Comment:
    Source ID: A19
Illustrative allowance for launch, training and ramp-up.
Editable scenario input; see 06_Sources for the audit trail.</x:t>
        </x:r>
      </x:text>
    </x:comment>
    <x:comment ref="E29" authorId="70">
      <x:text>
        <x:r>
          <x:t>[Threaded comment]
Your version of Excel allows you to read this threaded comment; however, any edits to it will get removed if the file is opened in a newer version of Excel. Learn more: https://go.microsoft.com/fwlink/?linkid=870924
Comment:
    Source ID: A19
Illustrative allowance for launch, training and ramp-up.
Editable scenario input; see 06_Sources for the audit trail.</x:t>
        </x:r>
      </x:text>
    </x:comment>
    <x:comment ref="F29" authorId="71">
      <x:text>
        <x:r>
          <x:t>[Threaded comment]
Your version of Excel allows you to read this threaded comment; however, any edits to it will get removed if the file is opened in a newer version of Excel. Learn more: https://go.microsoft.com/fwlink/?linkid=870924
Comment:
    Source ID: A19
Illustrative allowance for launch, training and ramp-up.
Editable scenario input; see 06_Sources for the audit trail.</x:t>
        </x:r>
      </x:text>
    </x:comment>
    <x:comment ref="D30" authorId="72">
      <x:text>
        <x:r>
          <x:t>[Threaded comment]
Your version of Excel allows you to read this threaded comment; however, any edits to it will get removed if the file is opened in a newer version of Excel. Learn more: https://go.microsoft.com/fwlink/?linkid=870924
Comment:
    Source ID: A20
Applied to the five installed-cost line items.
Editable scenario input; see 06_Sources for the audit trail.</x:t>
        </x:r>
      </x:text>
    </x:comment>
    <x:comment ref="E30" authorId="73">
      <x:text>
        <x:r>
          <x:t>[Threaded comment]
Your version of Excel allows you to read this threaded comment; however, any edits to it will get removed if the file is opened in a newer version of Excel. Learn more: https://go.microsoft.com/fwlink/?linkid=870924
Comment:
    Source ID: A20
Applied to the five installed-cost line items.
Editable scenario input; see 06_Sources for the audit trail.</x:t>
        </x:r>
      </x:text>
    </x:comment>
    <x:comment ref="F30" authorId="74">
      <x:text>
        <x:r>
          <x:t>[Threaded comment]
Your version of Excel allows you to read this threaded comment; however, any edits to it will get removed if the file is opened in a newer version of Excel. Learn more: https://go.microsoft.com/fwlink/?linkid=870924
Comment:
    Source ID: A20
Applied to the five installed-cost line items.
Editable scenario input; see 06_Sources for the audit trail.</x:t>
        </x:r>
      </x:text>
    </x:comment>
    <x:comment ref="D31" authorId="75">
      <x:text>
        <x:r>
          <x:t>[Threaded comment]
Your version of Excel allows you to read this threaded comment; however, any edits to it will get removed if the file is opened in a newer version of Excel. Learn more: https://go.microsoft.com/fwlink/?linkid=870924
Comment:
    Source ID: A21
Scenario range; replace with service contract and spare-parts plan.
Editable scenario input; see 06_Sources for the audit trail.</x:t>
        </x:r>
      </x:text>
    </x:comment>
    <x:comment ref="E31" authorId="76">
      <x:text>
        <x:r>
          <x:t>[Threaded comment]
Your version of Excel allows you to read this threaded comment; however, any edits to it will get removed if the file is opened in a newer version of Excel. Learn more: https://go.microsoft.com/fwlink/?linkid=870924
Comment:
    Source ID: A21
Scenario range; replace with service contract and spare-parts plan.
Editable scenario input; see 06_Sources for the audit trail.</x:t>
        </x:r>
      </x:text>
    </x:comment>
    <x:comment ref="F31" authorId="77">
      <x:text>
        <x:r>
          <x:t>[Threaded comment]
Your version of Excel allows you to read this threaded comment; however, any edits to it will get removed if the file is opened in a newer version of Excel. Learn more: https://go.microsoft.com/fwlink/?linkid=870924
Comment:
    Source ID: A21
Scenario range; replace with service contract and spare-parts plan.
Editable scenario input; see 06_Sources for the audit trail.</x:t>
        </x:r>
      </x:text>
    </x:comment>
    <x:comment ref="D32" authorId="78">
      <x:text>
        <x:r>
          <x:t>[Threaded comment]
Your version of Excel allows you to read this threaded comment; however, any edits to it will get removed if the file is opened in a newer version of Excel. Learn more: https://go.microsoft.com/fwlink/?linkid=870924
Comment:
    Source ID: A22
Illustrative recurring support cost.
Editable scenario input; see 06_Sources for the audit trail.</x:t>
        </x:r>
      </x:text>
    </x:comment>
    <x:comment ref="E32" authorId="79">
      <x:text>
        <x:r>
          <x:t>[Threaded comment]
Your version of Excel allows you to read this threaded comment; however, any edits to it will get removed if the file is opened in a newer version of Excel. Learn more: https://go.microsoft.com/fwlink/?linkid=870924
Comment:
    Source ID: A22
Illustrative recurring support cost.
Editable scenario input; see 06_Sources for the audit trail.</x:t>
        </x:r>
      </x:text>
    </x:comment>
    <x:comment ref="F32" authorId="80">
      <x:text>
        <x:r>
          <x:t>[Threaded comment]
Your version of Excel allows you to read this threaded comment; however, any edits to it will get removed if the file is opened in a newer version of Excel. Learn more: https://go.microsoft.com/fwlink/?linkid=870924
Comment:
    Source ID: A22
Illustrative recurring support cost.
Editable scenario input; see 06_Sources for the audit trail.</x:t>
        </x:r>
      </x:text>
    </x:comment>
    <x:comment ref="D33" authorId="81">
      <x:text>
        <x:r>
          <x:t>[Threaded comment]
Your version of Excel allows you to read this threaded comment; however, any edits to it will get removed if the file is opened in a newer version of Excel. Learn more: https://go.microsoft.com/fwlink/?linkid=870924
Comment:
    Source ID: A23
All-in site electricity scenario; replace with contract and network cost.
Editable scenario input; see 06_Sources for the audit trail.</x:t>
        </x:r>
      </x:text>
    </x:comment>
    <x:comment ref="E33" authorId="82">
      <x:text>
        <x:r>
          <x:t>[Threaded comment]
Your version of Excel allows you to read this threaded comment; however, any edits to it will get removed if the file is opened in a newer version of Excel. Learn more: https://go.microsoft.com/fwlink/?linkid=870924
Comment:
    Source ID: A23
All-in site electricity scenario; replace with contract and network cost.
Editable scenario input; see 06_Sources for the audit trail.</x:t>
        </x:r>
      </x:text>
    </x:comment>
    <x:comment ref="F33" authorId="83">
      <x:text>
        <x:r>
          <x:t>[Threaded comment]
Your version of Excel allows you to read this threaded comment; however, any edits to it will get removed if the file is opened in a newer version of Excel. Learn more: https://go.microsoft.com/fwlink/?linkid=870924
Comment:
    Source ID: A23
All-in site electricity scenario; replace with contract and network cost.
Editable scenario input; see 06_Sources for the audit trail.</x:t>
        </x:r>
      </x:text>
    </x:comment>
    <x:comment ref="D34" authorId="84">
      <x:text>
        <x:r>
          <x:t>[Threaded comment]
Your version of Excel allows you to read this threaded comment; however, any edits to it will get removed if the file is opened in a newer version of Excel. Learn more: https://go.microsoft.com/fwlink/?linkid=870924
Comment:
    Source ID: A24
Applied to maintenance, service, electricity and other benefits.
Editable scenario input; see 06_Sources for the audit trail.</x:t>
        </x:r>
      </x:text>
    </x:comment>
    <x:comment ref="E34" authorId="85">
      <x:text>
        <x:r>
          <x:t>[Threaded comment]
Your version of Excel allows you to read this threaded comment; however, any edits to it will get removed if the file is opened in a newer version of Excel. Learn more: https://go.microsoft.com/fwlink/?linkid=870924
Comment:
    Source ID: A24
Applied to maintenance, service, electricity and other benefits.
Editable scenario input; see 06_Sources for the audit trail.</x:t>
        </x:r>
      </x:text>
    </x:comment>
    <x:comment ref="F34" authorId="86">
      <x:text>
        <x:r>
          <x:t>[Threaded comment]
Your version of Excel allows you to read this threaded comment; however, any edits to it will get removed if the file is opened in a newer version of Excel. Learn more: https://go.microsoft.com/fwlink/?linkid=870924
Comment:
    Source ID: A24
Applied to maintenance, service, electricity and other benefits.
Editable scenario input; see 06_Sources for the audit trail.</x:t>
        </x:r>
      </x:text>
    </x:comment>
    <x:comment ref="D35" authorId="87">
      <x:text>
        <x:r>
          <x:t>[Threaded comment]
Your version of Excel allows you to read this threaded comment; however, any edits to it will get removed if the file is opened in a newer version of Excel. Learn more: https://go.microsoft.com/fwlink/?linkid=870924
Comment:
    Source ID: A25
After-tax salvage proceeds are included in Year 5.
Editable scenario input; see 06_Sources for the audit trail.</x:t>
        </x:r>
      </x:text>
    </x:comment>
    <x:comment ref="E35" authorId="88">
      <x:text>
        <x:r>
          <x:t>[Threaded comment]
Your version of Excel allows you to read this threaded comment; however, any edits to it will get removed if the file is opened in a newer version of Excel. Learn more: https://go.microsoft.com/fwlink/?linkid=870924
Comment:
    Source ID: A25
After-tax salvage proceeds are included in Year 5.
Editable scenario input; see 06_Sources for the audit trail.</x:t>
        </x:r>
      </x:text>
    </x:comment>
    <x:comment ref="F35" authorId="89">
      <x:text>
        <x:r>
          <x:t>[Threaded comment]
Your version of Excel allows you to read this threaded comment; however, any edits to it will get removed if the file is opened in a newer version of Excel. Learn more: https://go.microsoft.com/fwlink/?linkid=870924
Comment:
    Source ID: A25
After-tax salvage proceeds are included in Year 5.
Editable scenario input; see 06_Sources for the audit trail.</x:t>
        </x:r>
      </x:text>
    </x:comment>
    <x:comment ref="D36" authorId="90">
      <x:text>
        <x:r>
          <x:t>[Threaded comment]
Your version of Excel allows you to read this threaded comment; however, any edits to it will get removed if the file is opened in a newer version of Excel. Learn more: https://go.microsoft.com/fwlink/?linkid=870924
Comment:
    Source ID: A26
Set to zero to avoid unsubstantiated safety, quality or capacity benefits.
Editable scenario input; see 06_Sources for the audit trail.</x:t>
        </x:r>
      </x:text>
    </x:comment>
    <x:comment ref="E36" authorId="91">
      <x:text>
        <x:r>
          <x:t>[Threaded comment]
Your version of Excel allows you to read this threaded comment; however, any edits to it will get removed if the file is opened in a newer version of Excel. Learn more: https://go.microsoft.com/fwlink/?linkid=870924
Comment:
    Source ID: A26
Set to zero to avoid unsubstantiated safety, quality or capacity benefits.
Editable scenario input; see 06_Sources for the audit trail.</x:t>
        </x:r>
      </x:text>
    </x:comment>
    <x:comment ref="F36" authorId="92">
      <x:text>
        <x:r>
          <x:t>[Threaded comment]
Your version of Excel allows you to read this threaded comment; however, any edits to it will get removed if the file is opened in a newer version of Excel. Learn more: https://go.microsoft.com/fwlink/?linkid=870924
Comment:
    Source ID: A26
Set to zero to avoid unsubstantiated safety, quality or capacity benefits.
Editable scenario input; see 06_Sources for the audit trail.</x:t>
        </x:r>
      </x:text>
    </x:comment>
  </x:commentList>
</x:comments>
</file>

<file path=xl/comments2.xml><?xml version="1.0" encoding="utf-8"?>
<x:comments xmlns:x="http://schemas.openxmlformats.org/spreadsheetml/2006/main">
  <x:authors>
    <x:author>tc={F08977E4-2F8F-7F9C-5CF3-05AFCC6C4C79}</x:author>
    <x:author>tc={DB69ABEF-1818-20A5-2106-045047D25716}</x:author>
    <x:author>tc={F8457444-8FE3-C7FB-CF3A-8C35F6856C85}</x:author>
    <x:author>tc={9F0D167B-8CBA-0E2E-F4D0-FB5C3B317945}</x:author>
    <x:author>tc={ABA799D0-A822-1CAC-E2B4-01B590E628B7}</x:author>
    <x:author>tc={548A7F58-67DD-F363-E0FC-9F8C34E24ED5}</x:author>
  </x:authors>
  <x:commentList>
    <x:comment ref="D13" authorId="0">
      <x:text>
        <x:r>
          <x:t>[Threaded comment]
Your version of Excel allows you to read this threaded comment; however, any edits to it will get removed if the file is opened in a newer version of Excel. Learn more: https://go.microsoft.com/fwlink/?linkid=870924
Comment:
    Realized labor savings = gross addressable labor cost × realization rate × uptime. This avoids claiming every theoretical hour becomes cash savings.</x:t>
        </x:r>
      </x:text>
    </x:comment>
    <x:comment ref="D36" authorId="1">
      <x:text>
        <x:r>
          <x:t>[Threaded comment]
Your version of Excel allows you to read this threaded comment; however, any edits to it will get removed if the file is opened in a newer version of Excel. Learn more: https://go.microsoft.com/fwlink/?linkid=870924
Comment:
    After-tax free cash flow = incremental EBITDA − cash tax + after-tax salvage proceeds. Year 0 is the installed capex outflow.</x:t>
        </x:r>
      </x:text>
    </x:comment>
    <x:comment ref="K9" authorId="2">
      <x:text>
        <x:r>
          <x:t>[Threaded comment]
Your version of Excel allows you to read this threaded comment; however, any edits to it will get removed if the file is opened in a newer version of Excel. Learn more: https://go.microsoft.com/fwlink/?linkid=870924
Comment:
    NPV is the sum of each cash flow multiplied by its discount factor. Positive NPV means the project creates value at the selected hurdle rate.</x:t>
        </x:r>
      </x:text>
    </x:comment>
    <x:comment ref="K10" authorId="3">
      <x:text>
        <x:r>
          <x:t>[Threaded comment]
Your version of Excel allows you to read this threaded comment; however, any edits to it will get removed if the file is opened in a newer version of Excel. Learn more: https://go.microsoft.com/fwlink/?linkid=870924
Comment:
    IRR is the discount rate that makes NPV equal to zero. The formula is guarded and returns n.m. if Excel cannot calculate a meaningful rate.</x:t>
        </x:r>
      </x:text>
    </x:comment>
    <x:comment ref="K11" authorId="4">
      <x:text>
        <x:r>
          <x:t>[Threaded comment]
Your version of Excel allows you to read this threaded comment; however, any edits to it will get removed if the file is opened in a newer version of Excel. Learn more: https://go.microsoft.com/fwlink/?linkid=870924
Comment:
    Payback uses undiscounted cumulative cash flow and interpolates within the year in which cumulative cash flow becomes positive.</x:t>
        </x:r>
      </x:text>
    </x:comment>
    <x:comment ref="K18" authorId="5">
      <x:text>
        <x:r>
          <x:t>[Threaded comment]
Your version of Excel allows you to read this threaded comment; however, any edits to it will get removed if the file is opened in a newer version of Excel. Learn more: https://go.microsoft.com/fwlink/?linkid=870924
Comment:
    Decision rule: retain manual if NPV is non-positive; invest if NPV is positive and return, payback, payload and throughput criteria pass; otherwise run a pilot.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yyyy-mm-dd"/>
    <x:numFmt numFmtId="201" formatCode="#,##0;[Red](#,##0);-"/>
    <x:numFmt numFmtId="202" formatCode="0.0%;[Red](0.0%);-"/>
    <x:numFmt numFmtId="203" formatCode="#,##0.0;[Red](#,##0.0);-"/>
    <x:numFmt numFmtId="204" formatCode="0.00"/>
    <x:numFmt numFmtId="205" formatCode="&quot;Year &quot;0"/>
    <x:numFmt numFmtId="206" formatCode="0.000x"/>
    <x:numFmt numFmtId="207" formatCode="0.0 &quot;years&quot;"/>
  </x:numFmts>
  <x:fonts count="19">
    <x:font>
      <x:sz val="11"/>
      <x:color theme="1"/>
      <x:name val="Calibri"/>
    </x:font>
    <x:font>
      <x:b/>
      <x:sz val="11"/>
      <x:color rgb="FFFFFFFF"/>
      <x:name val="Aptos Display"/>
    </x:font>
    <x:font>
      <x:i/>
      <x:sz val="11"/>
      <x:color rgb="FF203864"/>
      <x:name val="Aptos"/>
    </x:font>
    <x:font>
      <x:b/>
      <x:sz val="11"/>
      <x:color rgb="FFFFFFFF"/>
      <x:name val="Aptos"/>
    </x:font>
    <x:font>
      <x:b/>
      <x:sz val="11"/>
      <x:color rgb="FF203864"/>
      <x:name val="Calibri"/>
    </x:font>
    <x:font>
      <x:b/>
      <x:sz val="11"/>
      <x:color rgb="FF008000"/>
      <x:name val="Calibri"/>
    </x:font>
    <x:font>
      <x:sz val="11"/>
      <x:color rgb="FF222222"/>
      <x:name val="Aptos"/>
    </x:font>
    <x:font>
      <x:i/>
      <x:sz val="11"/>
      <x:color rgb="FF222222"/>
      <x:name val="Calibri"/>
    </x:font>
    <x:font>
      <x:b/>
      <x:sz val="11"/>
      <x:color rgb="FF0000FF"/>
      <x:name val="Calibri"/>
    </x:font>
    <x:font>
      <x:b/>
      <x:sz val="11"/>
      <x:color rgb="FF222222"/>
      <x:name val="Calibri"/>
    </x:font>
    <x:font>
      <x:b/>
      <x:sz val="11"/>
      <x:color rgb="FFFFFFFF"/>
      <x:name val="Calibri"/>
    </x:font>
    <x:font>
      <x:sz val="11"/>
      <x:color rgb="FF0000FF"/>
      <x:name val="Aptos"/>
    </x:font>
    <x:font>
      <x:b/>
      <x:sz val="11"/>
      <x:color rgb="FF222222"/>
      <x:name val="Aptos"/>
    </x:font>
    <x:font>
      <x:sz val="11"/>
      <x:color rgb="FF008000"/>
      <x:name val="Calibri"/>
    </x:font>
    <x:font>
      <x:b/>
      <x:sz val="11"/>
      <x:color rgb="FF203864"/>
      <x:name val="Aptos"/>
    </x:font>
    <x:font>
      <x:i/>
      <x:sz val="11"/>
      <x:color rgb="FF666666"/>
      <x:name val="Calibri"/>
    </x:font>
    <x:font>
      <x:sz val="11"/>
      <x:color rgb="FF222222"/>
      <x:name val="Calibri"/>
    </x:font>
    <x:font>
      <x:sz val="11"/>
      <x:color rgb="FF008000"/>
      <x:name val="Aptos"/>
    </x:font>
    <x:font>
      <x:b/>
      <x:sz val="11"/>
      <x:color rgb="FF548235"/>
      <x:name val="Calibri"/>
    </x:font>
  </x:fonts>
  <x:fills count="12">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03864"/>
      </x:patternFill>
    </x:fill>
    <x:fill>
      <x:patternFill patternType="solid">
        <x:fgColor rgb="FFD9EAF7"/>
      </x:patternFill>
    </x:fill>
    <x:fill>
      <x:patternFill patternType="solid">
        <x:fgColor rgb="FF4472C4"/>
      </x:patternFill>
    </x:fill>
    <x:fill>
      <x:patternFill patternType="solid">
        <x:fgColor rgb="FFFFF2CC"/>
      </x:patternFill>
    </x:fill>
    <x:fill>
      <x:patternFill patternType="solid">
        <x:fgColor rgb="FFF2F2F2"/>
      </x:patternFill>
    </x:fill>
    <x:fill>
      <x:patternFill patternType="solid">
        <x:fgColor rgb="FFFCE4D6"/>
      </x:patternFill>
    </x:fill>
    <x:fill>
      <x:patternFill patternType="solid">
        <x:fgColor rgb="FFE2F0D9"/>
      </x:patternFill>
    </x:fill>
    <x:fill>
      <x:patternFill patternType="solid">
        <x:fgColor rgb="FFFAFAFA"/>
      </x:patternFill>
    </x:fill>
  </x:fills>
  <x:borders count="23">
    <x:border/>
    <x:border>
      <x:right style="thin">
        <x:color rgb="FFE6E6E6"/>
      </x:right>
      <x:bottom style="thin">
        <x:color rgb="FFE6E6E6"/>
      </x:bottom>
    </x:border>
    <x:border>
      <x:left style="thin">
        <x:color rgb="FFE6E6E6"/>
      </x:left>
      <x:bottom style="thin">
        <x:color rgb="FFE6E6E6"/>
      </x:bottom>
    </x:border>
    <x:border>
      <x:right style="thin">
        <x:color rgb="FFE6E6E6"/>
      </x:right>
      <x:top style="thin">
        <x:color rgb="FFE6E6E6"/>
      </x:top>
      <x:bottom style="thin">
        <x:color rgb="FFE6E6E6"/>
      </x:bottom>
    </x:border>
    <x:border>
      <x:left style="thin">
        <x:color rgb="FFE6E6E6"/>
      </x:left>
      <x:top style="thin">
        <x:color rgb="FFE6E6E6"/>
      </x:top>
      <x:bottom style="thin">
        <x:color rgb="FFE6E6E6"/>
      </x:bottom>
    </x:border>
    <x:border>
      <x:right style="thin">
        <x:color rgb="FFE6E6E6"/>
      </x:right>
      <x:top style="thin">
        <x:color rgb="FFE6E6E6"/>
      </x:top>
    </x:border>
    <x:border>
      <x:left style="thin">
        <x:color rgb="FFE6E6E6"/>
      </x:left>
      <x:top style="thin">
        <x:color rgb="FFE6E6E6"/>
      </x:top>
    </x:border>
    <x:border>
      <x:bottom style="thin">
        <x:color rgb="FFE6E6E6"/>
      </x:bottom>
    </x:border>
    <x:border>
      <x:top style="thin">
        <x:color rgb="FFE6E6E6"/>
      </x:top>
      <x:bottom style="thin">
        <x:color rgb="FFE6E6E6"/>
      </x:bottom>
    </x:border>
    <x:border>
      <x:top style="thin">
        <x:color rgb="FFE6E6E6"/>
      </x:top>
    </x:border>
    <x:border>
      <x:left style="thin">
        <x:color rgb="FFB4C6E7"/>
      </x:left>
      <x:right style="thin">
        <x:color rgb="FFB4C6E7"/>
      </x:right>
      <x:top style="thin">
        <x:color rgb="FFB4C6E7"/>
      </x:top>
      <x:bottom style="thin">
        <x:color rgb="FFB4C6E7"/>
      </x:bottom>
    </x:border>
    <x:border>
      <x:top style="thin">
        <x:color rgb="FFE6E6E6"/>
      </x:top>
      <x:bottom style="thin">
        <x:color rgb="FFB4C6E7"/>
      </x:bottom>
    </x:border>
    <x:border>
      <x:left style="medium">
        <x:color rgb="FFD6B656"/>
      </x:left>
      <x:right style="medium">
        <x:color rgb="FFD6B656"/>
      </x:right>
      <x:top style="medium">
        <x:color rgb="FFD6B656"/>
      </x:top>
      <x:bottom style="medium">
        <x:color rgb="FFD6B656"/>
      </x:bottom>
    </x:border>
    <x:border>
      <x:top style="thin">
        <x:color rgb="FF4472C4"/>
      </x:top>
      <x:bottom style="thin">
        <x:color rgb="FFB4C6E7"/>
      </x:bottom>
    </x:border>
    <x:border>
      <x:top style="thin">
        <x:color rgb="FFC55A11"/>
      </x:top>
      <x:bottom style="thin">
        <x:color rgb="FFB4C6E7"/>
      </x:bottom>
    </x:border>
    <x:border>
      <x:top style="thin">
        <x:color rgb="FFD6B656"/>
      </x:top>
      <x:bottom style="thin">
        <x:color rgb="FFE6E6E6"/>
      </x:bottom>
    </x:border>
    <x:border>
      <x:top style="medium">
        <x:color rgb="FF548235"/>
      </x:top>
      <x:bottom style="thin">
        <x:color rgb="FFE6E6E6"/>
      </x:bottom>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s>
  <x:cellStyleXfs count="1">
    <x:xf numFmtId="0" fontId="0" fillId="0" borderId="0"/>
  </x:cellStyleXfs>
  <x:cellXfs count="3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4" fillId="0" borderId="0" xfId="0" applyNumberFormat="1" applyFont="1" applyFill="1" applyBorder="1"/>
    <x:xf numFmtId="200" fontId="0" fillId="0" borderId="0" xfId="0" applyNumberFormat="1" applyFont="1" applyFill="1" applyBorder="1"/>
    <x:xf numFmtId="0" fontId="4" fillId="0" borderId="1" xfId="0" applyNumberFormat="1" applyFont="1" applyFill="1" applyBorder="1"/>
    <x:xf numFmtId="0" fontId="0" fillId="0" borderId="2" xfId="0" applyNumberFormat="1" applyFont="1" applyFill="1" applyBorder="1"/>
    <x:xf numFmtId="0" fontId="4" fillId="0" borderId="3" xfId="0" applyNumberFormat="1" applyFont="1" applyFill="1" applyBorder="1"/>
    <x:xf numFmtId="0" fontId="0" fillId="0" borderId="4" xfId="0" applyNumberFormat="1" applyFont="1" applyFill="1" applyBorder="1"/>
    <x:xf numFmtId="200" fontId="0" fillId="0" borderId="4" xfId="0" applyNumberFormat="1" applyFont="1" applyFill="1" applyBorder="1"/>
    <x:xf numFmtId="0" fontId="4" fillId="0" borderId="5" xfId="0" applyNumberFormat="1" applyFont="1" applyFill="1" applyBorder="1"/>
    <x:xf numFmtId="0" fontId="0" fillId="0" borderId="6" xfId="0" applyNumberFormat="1" applyFont="1" applyFill="1" applyBorder="1"/>
    <x:xf numFmtId="0" fontId="5" fillId="0" borderId="0" xfId="0" applyNumberFormat="1" applyFont="1" applyFill="1" applyBorder="1"/>
    <x:xf numFmtId="201" fontId="5" fillId="0" borderId="0" xfId="0" applyNumberFormat="1" applyFont="1" applyFill="1" applyBorder="1"/>
    <x:xf numFmtId="202" fontId="5" fillId="0" borderId="0" xfId="0" applyNumberFormat="1" applyFont="1" applyFill="1" applyBorder="1"/>
    <x:xf numFmtId="0" fontId="5" fillId="0" borderId="2" xfId="0" applyNumberFormat="1" applyFont="1" applyFill="1" applyBorder="1"/>
    <x:xf numFmtId="0" fontId="5" fillId="0" borderId="4" xfId="0" applyNumberFormat="1" applyFont="1" applyFill="1" applyBorder="1"/>
    <x:xf numFmtId="201" fontId="5" fillId="0" borderId="4" xfId="0" applyNumberFormat="1" applyFont="1" applyFill="1" applyBorder="1"/>
    <x:xf numFmtId="202" fontId="5" fillId="0" borderId="4" xfId="0" applyNumberFormat="1" applyFont="1" applyFill="1" applyBorder="1"/>
    <x:xf numFmtId="0" fontId="5" fillId="0" borderId="6" xfId="0" applyNumberFormat="1" applyFont="1" applyFill="1" applyBorder="1"/>
    <x:xf numFmtId="0" fontId="0" fillId="0" borderId="0" xfId="0" applyNumberFormat="1" applyFont="1" applyFill="1" applyBorder="1" applyAlignment="1">
      <x:alignment wrapText="1"/>
    </x:xf>
    <x:xf numFmtId="0" fontId="4" fillId="0" borderId="7" xfId="0" applyNumberFormat="1" applyFont="1" applyFill="1" applyBorder="1"/>
    <x:xf numFmtId="0" fontId="0" fillId="0" borderId="7" xfId="0" applyNumberFormat="1" applyFont="1" applyFill="1" applyBorder="1" applyAlignment="1">
      <x:alignment wrapText="1"/>
    </x:xf>
    <x:xf numFmtId="0" fontId="4" fillId="0" borderId="8" xfId="0" applyNumberFormat="1" applyFont="1" applyFill="1" applyBorder="1"/>
    <x:xf numFmtId="0" fontId="0" fillId="0" borderId="8" xfId="0" applyNumberFormat="1" applyFont="1" applyFill="1" applyBorder="1" applyAlignment="1">
      <x:alignment wrapText="1"/>
    </x:xf>
    <x:xf numFmtId="0" fontId="4" fillId="0" borderId="9" xfId="0" applyNumberFormat="1" applyFont="1" applyFill="1" applyBorder="1"/>
    <x:xf numFmtId="0" fontId="0" fillId="0" borderId="9"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3" fillId="6" borderId="10" xfId="0" applyNumberFormat="1" applyFont="1" applyFill="1" applyBorder="1"/>
    <x:xf numFmtId="0" fontId="3" fillId="6" borderId="10" xfId="0" applyNumberFormat="1" applyFont="1" applyFill="1" applyBorder="1" applyAlignment="1">
      <x:alignment wrapText="1"/>
    </x:xf>
    <x:xf numFmtId="0" fontId="3" fillId="6" borderId="10" xfId="0" applyNumberFormat="1" applyFont="1" applyFill="1" applyBorder="1" applyAlignment="1">
      <x:alignment horizontal="center" wrapText="1"/>
    </x:xf>
    <x:xf numFmtId="0" fontId="3" fillId="6" borderId="10" xfId="0" applyNumberFormat="1" applyFont="1" applyFill="1" applyBorder="1" applyAlignment="1">
      <x:alignment horizontal="center" vertical="center" wrapText="1"/>
    </x:xf>
    <x:xf numFmtId="0" fontId="6" fillId="0" borderId="0"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11" xfId="0" applyNumberFormat="1" applyFont="1" applyFill="1" applyBorder="1"/>
    <x:xf numFmtId="0" fontId="6" fillId="0" borderId="7" xfId="0" applyNumberFormat="1" applyFont="1" applyFill="1" applyBorder="1" applyAlignment="1">
      <x:alignment vertical="center"/>
    </x:xf>
    <x:xf numFmtId="0" fontId="6" fillId="0" borderId="8" xfId="0" applyNumberFormat="1" applyFont="1" applyFill="1" applyBorder="1" applyAlignment="1">
      <x:alignment vertical="center"/>
    </x:xf>
    <x:xf numFmtId="0" fontId="6" fillId="0" borderId="11" xfId="0" applyNumberFormat="1" applyFont="1" applyFill="1" applyBorder="1" applyAlignment="1">
      <x:alignment vertical="center"/>
    </x:xf>
    <x:xf numFmtId="0" fontId="6" fillId="0" borderId="7" xfId="0" applyNumberFormat="1" applyFont="1" applyFill="1" applyBorder="1" applyAlignment="1">
      <x:alignment vertical="center" wrapText="1"/>
    </x:xf>
    <x:xf numFmtId="0" fontId="6" fillId="0" borderId="8" xfId="0" applyNumberFormat="1" applyFont="1" applyFill="1" applyBorder="1" applyAlignment="1">
      <x:alignment vertical="center" wrapText="1"/>
    </x:xf>
    <x:xf numFmtId="0" fontId="6" fillId="0" borderId="11" xfId="0" applyNumberFormat="1" applyFont="1" applyFill="1" applyBorder="1" applyAlignment="1">
      <x:alignment vertical="center"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8" fillId="0" borderId="0" xfId="0" applyNumberFormat="1" applyFont="1" applyFill="1" applyBorder="1"/>
    <x:xf numFmtId="0" fontId="9" fillId="0"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horizontal="left"/>
    </x:xf>
    <x:xf numFmtId="0" fontId="8" fillId="7" borderId="0" xfId="0" applyNumberFormat="1" applyFont="1" applyFill="1" applyBorder="1"/>
    <x:xf numFmtId="0" fontId="8" fillId="7" borderId="12" xfId="0" applyNumberFormat="1" applyFont="1" applyFill="1" applyBorder="1"/>
    <x:xf numFmtId="0" fontId="8" fillId="7" borderId="12" xfId="0" applyNumberFormat="1" applyFont="1" applyFill="1" applyBorder="1" applyAlignment="1">
      <x:alignment horizont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11" fillId="0" borderId="7" xfId="0" applyNumberFormat="1" applyFont="1" applyFill="1" applyBorder="1" applyAlignment="1">
      <x:alignment vertical="center"/>
    </x:xf>
    <x:xf numFmtId="0" fontId="11" fillId="0" borderId="8" xfId="0" applyNumberFormat="1" applyFont="1" applyFill="1" applyBorder="1" applyAlignment="1">
      <x:alignment vertical="center"/>
    </x:xf>
    <x:xf numFmtId="0" fontId="11" fillId="0" borderId="11" xfId="0" applyNumberFormat="1" applyFont="1" applyFill="1" applyBorder="1" applyAlignment="1">
      <x:alignment vertical="center"/>
    </x:xf>
    <x:xf numFmtId="0" fontId="6" fillId="3" borderId="7" xfId="0" applyNumberFormat="1" applyFont="1" applyFill="1" applyBorder="1" applyAlignment="1">
      <x:alignment vertical="center"/>
    </x:xf>
    <x:xf numFmtId="0" fontId="6" fillId="3" borderId="8" xfId="0" applyNumberFormat="1" applyFont="1" applyFill="1" applyBorder="1" applyAlignment="1">
      <x:alignment vertical="center"/>
    </x:xf>
    <x:xf numFmtId="0" fontId="6" fillId="3" borderId="11" xfId="0" applyNumberFormat="1" applyFont="1" applyFill="1" applyBorder="1" applyAlignment="1">
      <x:alignment vertical="center"/>
    </x:xf>
    <x:xf numFmtId="0" fontId="12" fillId="3" borderId="7" xfId="0" applyNumberFormat="1" applyFont="1" applyFill="1" applyBorder="1" applyAlignment="1">
      <x:alignment vertical="center"/>
    </x:xf>
    <x:xf numFmtId="0" fontId="12" fillId="3" borderId="8" xfId="0" applyNumberFormat="1" applyFont="1" applyFill="1" applyBorder="1" applyAlignment="1">
      <x:alignment vertical="center"/>
    </x:xf>
    <x:xf numFmtId="0" fontId="12" fillId="3" borderId="11" xfId="0" applyNumberFormat="1" applyFont="1" applyFill="1" applyBorder="1" applyAlignment="1">
      <x:alignment vertical="center"/>
    </x:xf>
    <x:xf numFmtId="0" fontId="11" fillId="7" borderId="8" xfId="0" applyNumberFormat="1" applyFont="1" applyFill="1" applyBorder="1" applyAlignment="1">
      <x:alignment vertical="center"/>
    </x:xf>
    <x:xf numFmtId="202" fontId="11" fillId="0" borderId="8" xfId="0" applyNumberFormat="1" applyFont="1" applyFill="1" applyBorder="1" applyAlignment="1">
      <x:alignment vertical="center"/>
    </x:xf>
    <x:xf numFmtId="202" fontId="11" fillId="7" borderId="8" xfId="0" applyNumberFormat="1" applyFont="1" applyFill="1" applyBorder="1" applyAlignment="1">
      <x:alignment vertical="center"/>
    </x:xf>
    <x:xf numFmtId="202" fontId="12" fillId="3" borderId="8" xfId="0" applyNumberFormat="1" applyFont="1" applyFill="1" applyBorder="1" applyAlignment="1">
      <x:alignment vertical="center"/>
    </x:xf>
    <x:xf numFmtId="201" fontId="11" fillId="0" borderId="8" xfId="0" applyNumberFormat="1" applyFont="1" applyFill="1" applyBorder="1" applyAlignment="1">
      <x:alignment vertical="center"/>
    </x:xf>
    <x:xf numFmtId="201" fontId="11" fillId="7" borderId="8" xfId="0" applyNumberFormat="1" applyFont="1" applyFill="1" applyBorder="1" applyAlignment="1">
      <x:alignment vertical="center"/>
    </x:xf>
    <x:xf numFmtId="201" fontId="11" fillId="0" borderId="11" xfId="0" applyNumberFormat="1" applyFont="1" applyFill="1" applyBorder="1" applyAlignment="1">
      <x:alignment vertical="center"/>
    </x:xf>
    <x:xf numFmtId="201" fontId="12" fillId="3" borderId="8" xfId="0" applyNumberFormat="1" applyFont="1" applyFill="1" applyBorder="1" applyAlignment="1">
      <x:alignment vertical="center"/>
    </x:xf>
    <x:xf numFmtId="203" fontId="11" fillId="0" borderId="8" xfId="0" applyNumberFormat="1" applyFont="1" applyFill="1" applyBorder="1" applyAlignment="1">
      <x:alignment vertical="center"/>
    </x:xf>
    <x:xf numFmtId="203" fontId="11" fillId="7" borderId="8" xfId="0" applyNumberFormat="1" applyFont="1" applyFill="1" applyBorder="1" applyAlignment="1">
      <x:alignment vertical="center"/>
    </x:xf>
    <x:xf numFmtId="203" fontId="12" fillId="3" borderId="8" xfId="0" applyNumberFormat="1" applyFont="1" applyFill="1" applyBorder="1" applyAlignment="1">
      <x:alignment vertical="center"/>
    </x:xf>
    <x:xf numFmtId="204" fontId="11" fillId="0" borderId="8" xfId="0" applyNumberFormat="1" applyFont="1" applyFill="1" applyBorder="1" applyAlignment="1">
      <x:alignment vertical="center"/>
    </x:xf>
    <x:xf numFmtId="204" fontId="12" fillId="3" borderId="8" xfId="0" applyNumberFormat="1" applyFont="1" applyFill="1" applyBorder="1" applyAlignment="1">
      <x:alignment vertical="center"/>
    </x:xf>
    <x:xf numFmtId="0" fontId="11" fillId="0" borderId="7" xfId="0" applyNumberFormat="1" applyFont="1" applyFill="1" applyBorder="1" applyAlignment="1">
      <x:alignment horizontal="right" vertical="center"/>
    </x:xf>
    <x:xf numFmtId="202" fontId="11" fillId="0" borderId="8" xfId="0" applyNumberFormat="1" applyFont="1" applyFill="1" applyBorder="1" applyAlignment="1">
      <x:alignment horizontal="right" vertical="center"/>
    </x:xf>
    <x:xf numFmtId="0" fontId="11" fillId="0" borderId="8" xfId="0" applyNumberFormat="1" applyFont="1" applyFill="1" applyBorder="1" applyAlignment="1">
      <x:alignment horizontal="right" vertical="center"/>
    </x:xf>
    <x:xf numFmtId="203" fontId="11" fillId="0" borderId="8" xfId="0" applyNumberFormat="1" applyFont="1" applyFill="1" applyBorder="1" applyAlignment="1">
      <x:alignment horizontal="right" vertical="center"/>
    </x:xf>
    <x:xf numFmtId="201" fontId="11" fillId="0" borderId="8" xfId="0" applyNumberFormat="1" applyFont="1" applyFill="1" applyBorder="1" applyAlignment="1">
      <x:alignment horizontal="right" vertical="center"/>
    </x:xf>
    <x:xf numFmtId="203" fontId="11" fillId="7" borderId="8" xfId="0" applyNumberFormat="1" applyFont="1" applyFill="1" applyBorder="1" applyAlignment="1">
      <x:alignment horizontal="right" vertical="center"/>
    </x:xf>
    <x:xf numFmtId="204" fontId="11" fillId="0" borderId="8" xfId="0" applyNumberFormat="1" applyFont="1" applyFill="1" applyBorder="1" applyAlignment="1">
      <x:alignment horizontal="right" vertical="center"/>
    </x:xf>
    <x:xf numFmtId="201" fontId="11" fillId="7" borderId="8" xfId="0" applyNumberFormat="1" applyFont="1" applyFill="1" applyBorder="1" applyAlignment="1">
      <x:alignment horizontal="right" vertical="center"/>
    </x:xf>
    <x:xf numFmtId="202" fontId="11" fillId="7" borderId="8" xfId="0" applyNumberFormat="1" applyFont="1" applyFill="1" applyBorder="1" applyAlignment="1">
      <x:alignment horizontal="right" vertical="center"/>
    </x:xf>
    <x:xf numFmtId="201" fontId="11" fillId="0" borderId="11" xfId="0" applyNumberFormat="1" applyFont="1" applyFill="1" applyBorder="1" applyAlignment="1">
      <x:alignment horizontal="right" vertical="center"/>
    </x:xf>
    <x:xf numFmtId="0" fontId="12" fillId="3" borderId="7" xfId="0" applyNumberFormat="1" applyFont="1" applyFill="1" applyBorder="1" applyAlignment="1">
      <x:alignment horizontal="right" vertical="center"/>
    </x:xf>
    <x:xf numFmtId="202" fontId="12" fillId="3" borderId="8" xfId="0" applyNumberFormat="1" applyFont="1" applyFill="1" applyBorder="1" applyAlignment="1">
      <x:alignment horizontal="right" vertical="center"/>
    </x:xf>
    <x:xf numFmtId="0" fontId="12" fillId="3" borderId="8" xfId="0" applyNumberFormat="1" applyFont="1" applyFill="1" applyBorder="1" applyAlignment="1">
      <x:alignment horizontal="right" vertical="center"/>
    </x:xf>
    <x:xf numFmtId="203" fontId="12" fillId="3" borderId="8" xfId="0" applyNumberFormat="1" applyFont="1" applyFill="1" applyBorder="1" applyAlignment="1">
      <x:alignment horizontal="right" vertical="center"/>
    </x:xf>
    <x:xf numFmtId="201" fontId="12" fillId="3" borderId="8" xfId="0" applyNumberFormat="1" applyFont="1" applyFill="1" applyBorder="1" applyAlignment="1">
      <x:alignment horizontal="right" vertical="center"/>
    </x:xf>
    <x:xf numFmtId="204" fontId="12" fillId="3" borderId="8" xfId="0" applyNumberFormat="1" applyFont="1" applyFill="1" applyBorder="1" applyAlignment="1">
      <x:alignment horizontal="right" vertical="center"/>
    </x:xf>
    <x:xf numFmtId="0" fontId="5" fillId="7" borderId="0" xfId="0" applyNumberFormat="1" applyFont="1" applyFill="1" applyBorder="1"/>
    <x:xf numFmtId="0" fontId="5" fillId="7" borderId="0" xfId="0" applyNumberFormat="1" applyFont="1" applyFill="1" applyBorder="1" applyAlignment="1">
      <x:alignment horizontal="center"/>
    </x:xf>
    <x:xf numFmtId="205" fontId="3" fillId="6" borderId="10" xfId="0" applyNumberFormat="1" applyFont="1" applyFill="1" applyBorder="1" applyAlignment="1">
      <x:alignment horizontal="center" vertical="center" wrapText="1"/>
    </x:xf>
    <x:xf numFmtId="0" fontId="13" fillId="0" borderId="0" xfId="0" applyNumberFormat="1" applyFont="1" applyFill="1" applyBorder="1"/>
    <x:xf numFmtId="0" fontId="12" fillId="3" borderId="13" xfId="0" applyNumberFormat="1" applyFont="1" applyFill="1" applyBorder="1" applyAlignment="1">
      <x:alignment vertical="center"/>
    </x:xf>
    <x:xf numFmtId="0" fontId="6" fillId="9" borderId="11" xfId="0" applyNumberFormat="1" applyFont="1" applyFill="1" applyBorder="1" applyAlignment="1">
      <x:alignment vertical="center"/>
    </x:xf>
    <x:xf numFmtId="0" fontId="12" fillId="9" borderId="11" xfId="0" applyNumberFormat="1" applyFont="1" applyFill="1" applyBorder="1" applyAlignment="1">
      <x:alignment vertical="center"/>
    </x:xf>
    <x:xf numFmtId="0" fontId="12" fillId="9" borderId="14" xfId="0" applyNumberFormat="1" applyFont="1" applyFill="1" applyBorder="1" applyAlignment="1">
      <x:alignment vertical="center"/>
    </x:xf>
    <x:xf numFmtId="0" fontId="6" fillId="7" borderId="8" xfId="0" applyNumberFormat="1" applyFont="1" applyFill="1" applyBorder="1" applyAlignment="1">
      <x:alignment vertical="center"/>
    </x:xf>
    <x:xf numFmtId="0" fontId="12" fillId="7" borderId="8" xfId="0" applyNumberFormat="1" applyFont="1" applyFill="1" applyBorder="1" applyAlignment="1">
      <x:alignment vertical="center"/>
    </x:xf>
    <x:xf numFmtId="0" fontId="12" fillId="7" borderId="15" xfId="0" applyNumberFormat="1" applyFont="1" applyFill="1" applyBorder="1" applyAlignment="1">
      <x:alignment vertical="center"/>
    </x:xf>
    <x:xf numFmtId="0" fontId="6" fillId="10" borderId="8" xfId="0" applyNumberFormat="1" applyFont="1" applyFill="1" applyBorder="1" applyAlignment="1">
      <x:alignment vertical="center"/>
    </x:xf>
    <x:xf numFmtId="0" fontId="12" fillId="10" borderId="8" xfId="0" applyNumberFormat="1" applyFont="1" applyFill="1" applyBorder="1" applyAlignment="1">
      <x:alignment vertical="center"/>
    </x:xf>
    <x:xf numFmtId="0" fontId="12" fillId="10" borderId="16" xfId="0" applyNumberFormat="1" applyFont="1" applyFill="1" applyBorder="1" applyAlignment="1">
      <x:alignment vertical="center"/>
    </x:xf>
    <x:xf numFmtId="0" fontId="12" fillId="0" borderId="8" xfId="0" applyNumberFormat="1" applyFont="1" applyFill="1" applyBorder="1" applyAlignment="1">
      <x:alignment vertical="center"/>
    </x:xf>
    <x:xf numFmtId="0" fontId="12" fillId="0" borderId="11" xfId="0" applyNumberFormat="1" applyFont="1" applyFill="1" applyBorder="1" applyAlignment="1">
      <x:alignment vertical="center"/>
    </x:xf>
    <x:xf numFmtId="201" fontId="6" fillId="0" borderId="7" xfId="0" applyNumberFormat="1" applyFont="1" applyFill="1" applyBorder="1" applyAlignment="1">
      <x:alignment vertical="center"/>
    </x:xf>
    <x:xf numFmtId="201" fontId="6" fillId="0" borderId="8" xfId="0" applyNumberFormat="1" applyFont="1" applyFill="1" applyBorder="1" applyAlignment="1">
      <x:alignment vertical="center"/>
    </x:xf>
    <x:xf numFmtId="201" fontId="12" fillId="3" borderId="13" xfId="0" applyNumberFormat="1" applyFont="1" applyFill="1" applyBorder="1" applyAlignment="1">
      <x:alignment vertical="center"/>
    </x:xf>
    <x:xf numFmtId="201" fontId="0" fillId="0" borderId="0" xfId="0" applyNumberFormat="1" applyFont="1" applyFill="1" applyBorder="1"/>
    <x:xf numFmtId="201" fontId="3" fillId="4" borderId="0" xfId="0" applyNumberFormat="1" applyFont="1" applyFill="1" applyBorder="1" applyAlignment="1">
      <x:alignment horizontal="left" vertical="center"/>
    </x:xf>
    <x:xf numFmtId="201" fontId="12" fillId="9" borderId="14" xfId="0" applyNumberFormat="1" applyFont="1" applyFill="1" applyBorder="1" applyAlignment="1">
      <x:alignment vertical="center"/>
    </x:xf>
    <x:xf numFmtId="201" fontId="12" fillId="7" borderId="15" xfId="0" applyNumberFormat="1" applyFont="1" applyFill="1" applyBorder="1" applyAlignment="1">
      <x:alignment vertical="center"/>
    </x:xf>
    <x:xf numFmtId="201" fontId="12" fillId="10" borderId="16" xfId="0" applyNumberFormat="1" applyFont="1" applyFill="1" applyBorder="1" applyAlignment="1">
      <x:alignment vertical="center"/>
    </x:xf>
    <x:xf numFmtId="203" fontId="6" fillId="0" borderId="8" xfId="0" applyNumberFormat="1" applyFont="1" applyFill="1" applyBorder="1" applyAlignment="1">
      <x:alignment vertical="center"/>
    </x:xf>
    <x:xf numFmtId="206" fontId="6" fillId="0" borderId="8" xfId="0" applyNumberFormat="1" applyFont="1" applyFill="1" applyBorder="1" applyAlignment="1">
      <x:alignment vertical="center"/>
    </x:xf>
    <x:xf numFmtId="201" fontId="12" fillId="0" borderId="8" xfId="0" applyNumberFormat="1" applyFont="1" applyFill="1" applyBorder="1" applyAlignment="1">
      <x:alignment vertical="center"/>
    </x:xf>
    <x:xf numFmtId="201" fontId="12" fillId="0" borderId="11" xfId="0" applyNumberFormat="1" applyFont="1" applyFill="1" applyBorder="1" applyAlignment="1">
      <x:alignment vertical="center"/>
    </x:xf>
    <x:xf numFmtId="205" fontId="3" fillId="6" borderId="10" xfId="0" applyNumberFormat="1" applyFont="1" applyFill="1" applyBorder="1" applyAlignment="1">
      <x:alignment horizontal="right" vertical="center" wrapText="1"/>
    </x:xf>
    <x:xf numFmtId="0" fontId="0" fillId="0" borderId="0" xfId="0" applyNumberFormat="1" applyFont="1" applyFill="1" applyBorder="1" applyAlignment="1">
      <x:alignment horizontal="right"/>
    </x:xf>
    <x:xf numFmtId="0" fontId="3" fillId="4" borderId="0" xfId="0" applyNumberFormat="1" applyFont="1" applyFill="1" applyBorder="1" applyAlignment="1">
      <x:alignment horizontal="right" vertical="center"/>
    </x:xf>
    <x:xf numFmtId="201" fontId="6" fillId="0" borderId="7" xfId="0" applyNumberFormat="1" applyFont="1" applyFill="1" applyBorder="1" applyAlignment="1">
      <x:alignment horizontal="right" vertical="center"/>
    </x:xf>
    <x:xf numFmtId="203" fontId="6" fillId="0" borderId="8" xfId="0" applyNumberFormat="1" applyFont="1" applyFill="1" applyBorder="1" applyAlignment="1">
      <x:alignment horizontal="right" vertical="center"/>
    </x:xf>
    <x:xf numFmtId="201" fontId="6" fillId="0" borderId="8" xfId="0" applyNumberFormat="1" applyFont="1" applyFill="1" applyBorder="1" applyAlignment="1">
      <x:alignment horizontal="right" vertical="center"/>
    </x:xf>
    <x:xf numFmtId="201" fontId="12" fillId="3" borderId="13" xfId="0" applyNumberFormat="1" applyFont="1" applyFill="1" applyBorder="1" applyAlignment="1">
      <x:alignment horizontal="right" vertical="center"/>
    </x:xf>
    <x:xf numFmtId="201" fontId="0" fillId="0" borderId="0" xfId="0" applyNumberFormat="1" applyFont="1" applyFill="1" applyBorder="1" applyAlignment="1">
      <x:alignment horizontal="right"/>
    </x:xf>
    <x:xf numFmtId="201" fontId="3" fillId="4" borderId="0" xfId="0" applyNumberFormat="1" applyFont="1" applyFill="1" applyBorder="1" applyAlignment="1">
      <x:alignment horizontal="right" vertical="center"/>
    </x:xf>
    <x:xf numFmtId="201" fontId="12" fillId="9" borderId="14" xfId="0" applyNumberFormat="1" applyFont="1" applyFill="1" applyBorder="1" applyAlignment="1">
      <x:alignment horizontal="right" vertical="center"/>
    </x:xf>
    <x:xf numFmtId="201" fontId="12" fillId="7" borderId="15" xfId="0" applyNumberFormat="1" applyFont="1" applyFill="1" applyBorder="1" applyAlignment="1">
      <x:alignment horizontal="right" vertical="center"/>
    </x:xf>
    <x:xf numFmtId="201" fontId="12" fillId="10" borderId="16" xfId="0" applyNumberFormat="1" applyFont="1" applyFill="1" applyBorder="1" applyAlignment="1">
      <x:alignment horizontal="right" vertical="center"/>
    </x:xf>
    <x:xf numFmtId="206" fontId="6" fillId="0" borderId="8" xfId="0" applyNumberFormat="1" applyFont="1" applyFill="1" applyBorder="1" applyAlignment="1">
      <x:alignment horizontal="right" vertical="center"/>
    </x:xf>
    <x:xf numFmtId="201" fontId="12" fillId="0" borderId="8" xfId="0" applyNumberFormat="1" applyFont="1" applyFill="1" applyBorder="1" applyAlignment="1">
      <x:alignment horizontal="right" vertical="center"/>
    </x:xf>
    <x:xf numFmtId="201" fontId="12" fillId="0" borderId="11" xfId="0" applyNumberFormat="1" applyFont="1" applyFill="1" applyBorder="1" applyAlignment="1">
      <x:alignment horizontal="right" vertical="center"/>
    </x:xf>
    <x:xf numFmtId="0" fontId="14" fillId="0" borderId="7" xfId="0" applyNumberFormat="1" applyFont="1" applyFill="1" applyBorder="1" applyAlignment="1">
      <x:alignment vertical="center"/>
    </x:xf>
    <x:xf numFmtId="0" fontId="14" fillId="0" borderId="8" xfId="0" applyNumberFormat="1" applyFont="1" applyFill="1" applyBorder="1" applyAlignment="1">
      <x:alignment vertical="center"/>
    </x:xf>
    <x:xf numFmtId="0" fontId="14" fillId="0" borderId="11" xfId="0" applyNumberFormat="1" applyFont="1" applyFill="1" applyBorder="1" applyAlignment="1">
      <x:alignment vertical="center"/>
    </x:xf>
    <x:xf numFmtId="0" fontId="12" fillId="0" borderId="7" xfId="0" applyNumberFormat="1" applyFont="1" applyFill="1" applyBorder="1" applyAlignment="1">
      <x:alignment vertical="center"/>
    </x:xf>
    <x:xf numFmtId="201" fontId="12" fillId="0" borderId="7" xfId="0" applyNumberFormat="1" applyFont="1" applyFill="1" applyBorder="1" applyAlignment="1">
      <x:alignment vertical="center"/>
    </x:xf>
    <x:xf numFmtId="202" fontId="12" fillId="0" borderId="8" xfId="0" applyNumberFormat="1" applyFont="1" applyFill="1" applyBorder="1" applyAlignment="1">
      <x:alignment vertical="center"/>
    </x:xf>
    <x:xf numFmtId="207" fontId="12" fillId="0" borderId="8" xfId="0" applyNumberFormat="1" applyFont="1" applyFill="1" applyBorder="1" applyAlignment="1">
      <x:alignment vertical="center"/>
    </x:xf>
    <x:xf numFmtId="203" fontId="12" fillId="0" borderId="8" xfId="0" applyNumberFormat="1" applyFont="1" applyFill="1" applyBorder="1" applyAlignment="1">
      <x:alignment vertical="center"/>
    </x:xf>
    <x:xf numFmtId="0" fontId="14" fillId="3" borderId="11" xfId="0" applyNumberFormat="1" applyFont="1" applyFill="1" applyBorder="1" applyAlignment="1">
      <x:alignment vertical="center"/>
    </x:xf>
    <x:xf numFmtId="0" fontId="14" fillId="3" borderId="11" xfId="0" applyNumberFormat="1" applyFont="1" applyFill="1" applyBorder="1" applyAlignment="1">
      <x:alignment horizontal="center" vertical="center"/>
    </x:xf>
    <x:xf numFmtId="0" fontId="7" fillId="8" borderId="0" xfId="0" applyNumberFormat="1" applyFont="1" applyFill="1" applyBorder="1" applyAlignment="1">
      <x:alignment vertical="center" wrapText="1"/>
    </x:xf>
    <x:xf numFmtId="201" fontId="6" fillId="0" borderId="11" xfId="0" applyNumberFormat="1" applyFont="1" applyFill="1" applyBorder="1" applyAlignment="1">
      <x:alignment vertical="center"/>
    </x:xf>
    <x:xf numFmtId="0" fontId="14" fillId="3" borderId="8" xfId="0" applyNumberFormat="1" applyFont="1" applyFill="1" applyBorder="1" applyAlignment="1">
      <x:alignment vertical="center"/>
    </x:xf>
    <x:xf numFmtId="201" fontId="6" fillId="3" borderId="8" xfId="0" applyNumberFormat="1" applyFont="1" applyFill="1" applyBorder="1" applyAlignment="1">
      <x:alignment vertical="center"/>
    </x:xf>
    <x:xf numFmtId="202" fontId="6" fillId="0" borderId="7" xfId="0" applyNumberFormat="1" applyFont="1" applyFill="1" applyBorder="1" applyAlignment="1">
      <x:alignment vertical="center"/>
    </x:xf>
    <x:xf numFmtId="202" fontId="6" fillId="3" borderId="8" xfId="0" applyNumberFormat="1" applyFont="1" applyFill="1" applyBorder="1" applyAlignment="1">
      <x:alignment vertical="center"/>
    </x:xf>
    <x:xf numFmtId="202" fontId="6" fillId="0" borderId="11" xfId="0" applyNumberFormat="1" applyFont="1" applyFill="1" applyBorder="1" applyAlignment="1">
      <x:alignment vertical="center"/>
    </x:xf>
    <x:xf numFmtId="207" fontId="6" fillId="0" borderId="7" xfId="0" applyNumberFormat="1" applyFont="1" applyFill="1" applyBorder="1" applyAlignment="1">
      <x:alignment vertical="center"/>
    </x:xf>
    <x:xf numFmtId="207" fontId="6" fillId="3" borderId="8" xfId="0" applyNumberFormat="1" applyFont="1" applyFill="1" applyBorder="1" applyAlignment="1">
      <x:alignment vertical="center"/>
    </x:xf>
    <x:xf numFmtId="207" fontId="6" fillId="0" borderId="11" xfId="0" applyNumberFormat="1" applyFont="1" applyFill="1" applyBorder="1" applyAlignment="1">
      <x:alignment vertical="center"/>
    </x:xf>
    <x:xf numFmtId="203" fontId="6" fillId="0" borderId="7" xfId="0" applyNumberFormat="1" applyFont="1" applyFill="1" applyBorder="1" applyAlignment="1">
      <x:alignment vertical="center"/>
    </x:xf>
    <x:xf numFmtId="203" fontId="6" fillId="3" borderId="8" xfId="0" applyNumberFormat="1" applyFont="1" applyFill="1" applyBorder="1" applyAlignment="1">
      <x:alignment vertical="center"/>
    </x:xf>
    <x:xf numFmtId="203" fontId="6" fillId="0" borderId="11" xfId="0" applyNumberFormat="1" applyFont="1" applyFill="1" applyBorder="1" applyAlignment="1">
      <x:alignment vertical="center"/>
    </x:xf>
    <x:xf numFmtId="201" fontId="0" fillId="0" borderId="10" xfId="0" applyNumberFormat="1" applyFont="1" applyFill="1" applyBorder="1" applyAlignment="1">
      <x:alignment horizontal="right"/>
    </x:xf>
    <x:xf numFmtId="0" fontId="12" fillId="0" borderId="0" xfId="0" applyNumberFormat="1" applyFont="1" applyFill="1" applyBorder="1"/>
    <x:xf numFmtId="201" fontId="6" fillId="0" borderId="0" xfId="0" applyNumberFormat="1" applyFont="1" applyFill="1" applyBorder="1"/>
    <x:xf numFmtId="0" fontId="6" fillId="0" borderId="0" xfId="0" applyNumberFormat="1" applyFont="1" applyFill="1" applyBorder="1" applyAlignment="1">
      <x:alignment wrapText="1"/>
    </x:xf>
    <x:xf numFmtId="0" fontId="12" fillId="0" borderId="7" xfId="0" applyNumberFormat="1" applyFont="1" applyFill="1" applyBorder="1"/>
    <x:xf numFmtId="201" fontId="6" fillId="0" borderId="7" xfId="0" applyNumberFormat="1" applyFont="1" applyFill="1" applyBorder="1"/>
    <x:xf numFmtId="0" fontId="12" fillId="0" borderId="8" xfId="0" applyNumberFormat="1" applyFont="1" applyFill="1" applyBorder="1"/>
    <x:xf numFmtId="0" fontId="12" fillId="0" borderId="11" xfId="0" applyNumberFormat="1" applyFont="1" applyFill="1" applyBorder="1"/>
    <x:xf numFmtId="0" fontId="6" fillId="0" borderId="11" xfId="0" applyNumberFormat="1" applyFont="1" applyFill="1" applyBorder="1" applyAlignment="1">
      <x:alignment wrapText="1"/>
    </x:xf>
    <x:xf numFmtId="0" fontId="7" fillId="8" borderId="0" xfId="0" applyNumberFormat="1" applyFont="1" applyFill="1" applyBorder="1" applyAlignment="1">
      <x:alignment horizontal="center"/>
    </x:xf>
    <x:xf numFmtId="0" fontId="10" fillId="4" borderId="0" xfId="0" applyNumberFormat="1" applyFont="1" applyFill="1" applyBorder="1" applyAlignment="1">
      <x:alignment horizontal="center"/>
    </x:xf>
    <x:xf numFmtId="0" fontId="5" fillId="3" borderId="0" xfId="0" applyNumberFormat="1" applyFont="1" applyFill="1" applyBorder="1"/>
    <x:xf numFmtId="0" fontId="5" fillId="3" borderId="17" xfId="0" applyNumberFormat="1" applyFont="1" applyFill="1" applyBorder="1"/>
    <x:xf numFmtId="0" fontId="5" fillId="3" borderId="18" xfId="0" applyNumberFormat="1" applyFont="1" applyFill="1" applyBorder="1"/>
    <x:xf numFmtId="0" fontId="5" fillId="3" borderId="19" xfId="0" applyNumberFormat="1" applyFont="1" applyFill="1" applyBorder="1"/>
    <x:xf numFmtId="0" fontId="5" fillId="3" borderId="20" xfId="0" applyNumberFormat="1" applyFont="1" applyFill="1" applyBorder="1"/>
    <x:xf numFmtId="0" fontId="5" fillId="3" borderId="21" xfId="0" applyNumberFormat="1" applyFont="1" applyFill="1" applyBorder="1"/>
    <x:xf numFmtId="0" fontId="5" fillId="3" borderId="22" xfId="0" applyNumberFormat="1" applyFont="1" applyFill="1" applyBorder="1"/>
    <x:xf numFmtId="201" fontId="5" fillId="3" borderId="17" xfId="0" applyNumberFormat="1" applyFont="1" applyFill="1" applyBorder="1"/>
    <x:xf numFmtId="201" fontId="5" fillId="3" borderId="18" xfId="0" applyNumberFormat="1" applyFont="1" applyFill="1" applyBorder="1"/>
    <x:xf numFmtId="201" fontId="5" fillId="3" borderId="19" xfId="0" applyNumberFormat="1" applyFont="1" applyFill="1" applyBorder="1"/>
    <x:xf numFmtId="201" fontId="5" fillId="3" borderId="20" xfId="0" applyNumberFormat="1" applyFont="1" applyFill="1" applyBorder="1"/>
    <x:xf numFmtId="201" fontId="5" fillId="3" borderId="21" xfId="0" applyNumberFormat="1" applyFont="1" applyFill="1" applyBorder="1"/>
    <x:xf numFmtId="201" fontId="5" fillId="3" borderId="22" xfId="0" applyNumberFormat="1" applyFont="1" applyFill="1" applyBorder="1"/>
    <x:xf numFmtId="201" fontId="5" fillId="3" borderId="17" xfId="0" applyNumberFormat="1" applyFont="1" applyFill="1" applyBorder="1" applyAlignment="1">
      <x:alignment horizontal="center"/>
    </x:xf>
    <x:xf numFmtId="201" fontId="5" fillId="3" borderId="18" xfId="0" applyNumberFormat="1" applyFont="1" applyFill="1" applyBorder="1" applyAlignment="1">
      <x:alignment horizontal="center"/>
    </x:xf>
    <x:xf numFmtId="201" fontId="5" fillId="3" borderId="19" xfId="0" applyNumberFormat="1" applyFont="1" applyFill="1" applyBorder="1" applyAlignment="1">
      <x:alignment horizontal="center"/>
    </x:xf>
    <x:xf numFmtId="201" fontId="5" fillId="3" borderId="20" xfId="0" applyNumberFormat="1" applyFont="1" applyFill="1" applyBorder="1" applyAlignment="1">
      <x:alignment horizontal="center"/>
    </x:xf>
    <x:xf numFmtId="201" fontId="5" fillId="3" borderId="21" xfId="0" applyNumberFormat="1" applyFont="1" applyFill="1" applyBorder="1" applyAlignment="1">
      <x:alignment horizontal="center"/>
    </x:xf>
    <x:xf numFmtId="201" fontId="5" fillId="3" borderId="22" xfId="0" applyNumberFormat="1" applyFont="1" applyFill="1" applyBorder="1" applyAlignment="1">
      <x:alignment horizontal="center"/>
    </x:xf>
    <x:xf numFmtId="201" fontId="5" fillId="3" borderId="17" xfId="0" applyNumberFormat="1" applyFont="1" applyFill="1" applyBorder="1" applyAlignment="1">
      <x:alignment horizontal="center" vertical="center"/>
    </x:xf>
    <x:xf numFmtId="201" fontId="5" fillId="3" borderId="18" xfId="0" applyNumberFormat="1" applyFont="1" applyFill="1" applyBorder="1" applyAlignment="1">
      <x:alignment horizontal="center" vertical="center"/>
    </x:xf>
    <x:xf numFmtId="201" fontId="5" fillId="3" borderId="19" xfId="0" applyNumberFormat="1" applyFont="1" applyFill="1" applyBorder="1" applyAlignment="1">
      <x:alignment horizontal="center" vertical="center"/>
    </x:xf>
    <x:xf numFmtId="201" fontId="5" fillId="3" borderId="20" xfId="0" applyNumberFormat="1" applyFont="1" applyFill="1" applyBorder="1" applyAlignment="1">
      <x:alignment horizontal="center" vertical="center"/>
    </x:xf>
    <x:xf numFmtId="201" fontId="5" fillId="3" borderId="21" xfId="0" applyNumberFormat="1" applyFont="1" applyFill="1" applyBorder="1" applyAlignment="1">
      <x:alignment horizontal="center" vertical="center"/>
    </x:xf>
    <x:xf numFmtId="201" fontId="5" fillId="3" borderId="22"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horizontal="center"/>
    </x:xf>
    <x:xf numFmtId="202" fontId="5" fillId="3" borderId="17" xfId="0" applyNumberFormat="1" applyFont="1" applyFill="1" applyBorder="1"/>
    <x:xf numFmtId="202" fontId="5" fillId="3" borderId="18" xfId="0" applyNumberFormat="1" applyFont="1" applyFill="1" applyBorder="1"/>
    <x:xf numFmtId="202" fontId="5" fillId="3" borderId="19" xfId="0" applyNumberFormat="1" applyFont="1" applyFill="1" applyBorder="1"/>
    <x:xf numFmtId="202" fontId="5" fillId="3" borderId="20" xfId="0" applyNumberFormat="1" applyFont="1" applyFill="1" applyBorder="1"/>
    <x:xf numFmtId="202" fontId="5" fillId="3" borderId="21" xfId="0" applyNumberFormat="1" applyFont="1" applyFill="1" applyBorder="1"/>
    <x:xf numFmtId="202" fontId="5" fillId="3" borderId="22" xfId="0" applyNumberFormat="1" applyFont="1" applyFill="1" applyBorder="1"/>
    <x:xf numFmtId="202" fontId="5" fillId="3" borderId="17" xfId="0" applyNumberFormat="1" applyFont="1" applyFill="1" applyBorder="1" applyAlignment="1">
      <x:alignment horizontal="center"/>
    </x:xf>
    <x:xf numFmtId="202" fontId="5" fillId="3" borderId="18" xfId="0" applyNumberFormat="1" applyFont="1" applyFill="1" applyBorder="1" applyAlignment="1">
      <x:alignment horizontal="center"/>
    </x:xf>
    <x:xf numFmtId="202" fontId="5" fillId="3" borderId="19" xfId="0" applyNumberFormat="1" applyFont="1" applyFill="1" applyBorder="1" applyAlignment="1">
      <x:alignment horizontal="center"/>
    </x:xf>
    <x:xf numFmtId="202" fontId="5" fillId="3" borderId="20" xfId="0" applyNumberFormat="1" applyFont="1" applyFill="1" applyBorder="1" applyAlignment="1">
      <x:alignment horizontal="center"/>
    </x:xf>
    <x:xf numFmtId="202" fontId="5" fillId="3" borderId="21" xfId="0" applyNumberFormat="1" applyFont="1" applyFill="1" applyBorder="1" applyAlignment="1">
      <x:alignment horizontal="center"/>
    </x:xf>
    <x:xf numFmtId="202" fontId="5" fillId="3" borderId="22" xfId="0" applyNumberFormat="1" applyFont="1" applyFill="1" applyBorder="1" applyAlignment="1">
      <x:alignment horizontal="center"/>
    </x:xf>
    <x:xf numFmtId="202" fontId="5" fillId="3" borderId="17" xfId="0" applyNumberFormat="1" applyFont="1" applyFill="1" applyBorder="1" applyAlignment="1">
      <x:alignment horizontal="center" vertical="center"/>
    </x:xf>
    <x:xf numFmtId="202" fontId="5" fillId="3" borderId="18" xfId="0" applyNumberFormat="1" applyFont="1" applyFill="1" applyBorder="1" applyAlignment="1">
      <x:alignment horizontal="center" vertical="center"/>
    </x:xf>
    <x:xf numFmtId="202" fontId="5" fillId="3" borderId="19" xfId="0" applyNumberFormat="1" applyFont="1" applyFill="1" applyBorder="1" applyAlignment="1">
      <x:alignment horizontal="center" vertical="center"/>
    </x:xf>
    <x:xf numFmtId="202" fontId="5" fillId="3" borderId="20" xfId="0" applyNumberFormat="1" applyFont="1" applyFill="1" applyBorder="1" applyAlignment="1">
      <x:alignment horizontal="center" vertical="center"/>
    </x:xf>
    <x:xf numFmtId="202" fontId="5" fillId="3" borderId="21" xfId="0" applyNumberFormat="1" applyFont="1" applyFill="1" applyBorder="1" applyAlignment="1">
      <x:alignment horizontal="center" vertical="center"/>
    </x:xf>
    <x:xf numFmtId="202" fontId="5" fillId="3" borderId="22" xfId="0" applyNumberFormat="1" applyFont="1" applyFill="1" applyBorder="1" applyAlignment="1">
      <x:alignment horizontal="center" vertical="center"/>
    </x:xf>
    <x:xf numFmtId="207" fontId="5" fillId="3" borderId="17" xfId="0" applyNumberFormat="1" applyFont="1" applyFill="1" applyBorder="1"/>
    <x:xf numFmtId="207" fontId="5" fillId="3" borderId="18" xfId="0" applyNumberFormat="1" applyFont="1" applyFill="1" applyBorder="1"/>
    <x:xf numFmtId="207" fontId="5" fillId="3" borderId="19" xfId="0" applyNumberFormat="1" applyFont="1" applyFill="1" applyBorder="1"/>
    <x:xf numFmtId="207" fontId="5" fillId="3" borderId="20" xfId="0" applyNumberFormat="1" applyFont="1" applyFill="1" applyBorder="1"/>
    <x:xf numFmtId="207" fontId="5" fillId="3" borderId="21" xfId="0" applyNumberFormat="1" applyFont="1" applyFill="1" applyBorder="1"/>
    <x:xf numFmtId="207" fontId="5" fillId="3" borderId="22" xfId="0" applyNumberFormat="1" applyFont="1" applyFill="1" applyBorder="1"/>
    <x:xf numFmtId="207" fontId="5" fillId="3" borderId="17" xfId="0" applyNumberFormat="1" applyFont="1" applyFill="1" applyBorder="1" applyAlignment="1">
      <x:alignment horizontal="center"/>
    </x:xf>
    <x:xf numFmtId="207" fontId="5" fillId="3" borderId="18" xfId="0" applyNumberFormat="1" applyFont="1" applyFill="1" applyBorder="1" applyAlignment="1">
      <x:alignment horizontal="center"/>
    </x:xf>
    <x:xf numFmtId="207" fontId="5" fillId="3" borderId="19" xfId="0" applyNumberFormat="1" applyFont="1" applyFill="1" applyBorder="1" applyAlignment="1">
      <x:alignment horizontal="center"/>
    </x:xf>
    <x:xf numFmtId="207" fontId="5" fillId="3" borderId="20" xfId="0" applyNumberFormat="1" applyFont="1" applyFill="1" applyBorder="1" applyAlignment="1">
      <x:alignment horizontal="center"/>
    </x:xf>
    <x:xf numFmtId="207" fontId="5" fillId="3" borderId="21" xfId="0" applyNumberFormat="1" applyFont="1" applyFill="1" applyBorder="1" applyAlignment="1">
      <x:alignment horizontal="center"/>
    </x:xf>
    <x:xf numFmtId="207" fontId="5" fillId="3" borderId="22" xfId="0" applyNumberFormat="1" applyFont="1" applyFill="1" applyBorder="1" applyAlignment="1">
      <x:alignment horizontal="center"/>
    </x:xf>
    <x:xf numFmtId="207" fontId="5" fillId="3" borderId="17" xfId="0" applyNumberFormat="1" applyFont="1" applyFill="1" applyBorder="1" applyAlignment="1">
      <x:alignment horizontal="center" vertical="center"/>
    </x:xf>
    <x:xf numFmtId="207" fontId="5" fillId="3" borderId="18" xfId="0" applyNumberFormat="1" applyFont="1" applyFill="1" applyBorder="1" applyAlignment="1">
      <x:alignment horizontal="center" vertical="center"/>
    </x:xf>
    <x:xf numFmtId="207" fontId="5" fillId="3" borderId="19" xfId="0" applyNumberFormat="1" applyFont="1" applyFill="1" applyBorder="1" applyAlignment="1">
      <x:alignment horizontal="center" vertical="center"/>
    </x:xf>
    <x:xf numFmtId="207" fontId="5" fillId="3" borderId="20" xfId="0" applyNumberFormat="1" applyFont="1" applyFill="1" applyBorder="1" applyAlignment="1">
      <x:alignment horizontal="center" vertical="center"/>
    </x:xf>
    <x:xf numFmtId="207" fontId="5" fillId="3" borderId="21" xfId="0" applyNumberFormat="1" applyFont="1" applyFill="1" applyBorder="1" applyAlignment="1">
      <x:alignment horizontal="center" vertical="center"/>
    </x:xf>
    <x:xf numFmtId="207" fontId="5" fillId="3" borderId="22" xfId="0" applyNumberFormat="1" applyFont="1" applyFill="1" applyBorder="1" applyAlignment="1">
      <x:alignment horizontal="center" vertical="center"/>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202" fontId="6" fillId="0" borderId="8" xfId="0" applyNumberFormat="1" applyFont="1" applyFill="1" applyBorder="1" applyAlignment="1">
      <x:alignment vertical="center"/>
    </x:xf>
    <x:xf numFmtId="207" fontId="6" fillId="0" borderId="8" xfId="0" applyNumberFormat="1" applyFont="1" applyFill="1" applyBorder="1" applyAlignment="1">
      <x:alignment vertical="center"/>
    </x:xf>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7" fillId="0" borderId="7" xfId="0" applyNumberFormat="1" applyFont="1" applyFill="1" applyBorder="1" applyAlignment="1">
      <x:alignment vertical="center"/>
    </x:xf>
    <x:xf numFmtId="0" fontId="17" fillId="0" borderId="8" xfId="0" applyNumberFormat="1" applyFont="1" applyFill="1" applyBorder="1" applyAlignment="1">
      <x:alignment vertical="center"/>
    </x:xf>
    <x:xf numFmtId="0" fontId="17" fillId="0" borderId="11" xfId="0" applyNumberFormat="1" applyFont="1" applyFill="1" applyBorder="1" applyAlignment="1">
      <x:alignment vertical="center"/>
    </x:xf>
    <x:xf numFmtId="0" fontId="17" fillId="0" borderId="7" xfId="0" applyNumberFormat="1" applyFont="1" applyFill="1" applyBorder="1" applyAlignment="1">
      <x:alignment vertical="center" wrapText="1"/>
    </x:xf>
    <x:xf numFmtId="0" fontId="17" fillId="0" borderId="8" xfId="0" applyNumberFormat="1" applyFont="1" applyFill="1" applyBorder="1" applyAlignment="1">
      <x:alignment vertical="center" wrapText="1"/>
    </x:xf>
    <x:xf numFmtId="0" fontId="17" fillId="0" borderId="11" xfId="0" applyNumberFormat="1" applyFont="1" applyFill="1" applyBorder="1" applyAlignment="1">
      <x:alignment vertical="center" wrapText="1"/>
    </x:xf>
    <x:xf numFmtId="200" fontId="6" fillId="0" borderId="7" xfId="0" applyNumberFormat="1" applyFont="1" applyFill="1" applyBorder="1" applyAlignment="1">
      <x:alignment vertical="center"/>
    </x:xf>
    <x:xf numFmtId="200" fontId="6" fillId="0" borderId="8" xfId="0" applyNumberFormat="1" applyFont="1" applyFill="1" applyBorder="1" applyAlignment="1">
      <x:alignment vertical="center"/>
    </x:xf>
    <x:xf numFmtId="200" fontId="6" fillId="0" borderId="11" xfId="0" applyNumberFormat="1" applyFont="1" applyFill="1" applyBorder="1" applyAlignment="1">
      <x:alignment vertical="center"/>
    </x:xf>
    <x:xf numFmtId="202" fontId="6" fillId="0" borderId="8" xfId="0" applyNumberFormat="1" applyFont="1" applyFill="1" applyBorder="1" applyAlignment="1">
      <x:alignment vertical="center" wrapText="1"/>
    </x:xf>
    <x:xf numFmtId="0" fontId="6" fillId="3" borderId="7" xfId="0" applyNumberFormat="1" applyFont="1" applyFill="1" applyBorder="1" applyAlignment="1">
      <x:alignment vertical="center" wrapText="1"/>
    </x:xf>
    <x:xf numFmtId="0" fontId="17" fillId="3" borderId="7" xfId="0" applyNumberFormat="1" applyFont="1" applyFill="1" applyBorder="1" applyAlignment="1">
      <x:alignment vertical="center" wrapText="1"/>
    </x:xf>
    <x:xf numFmtId="200" fontId="6" fillId="3" borderId="7" xfId="0" applyNumberFormat="1" applyFont="1" applyFill="1" applyBorder="1" applyAlignment="1">
      <x:alignment vertical="center"/>
    </x:xf>
    <x:xf numFmtId="0" fontId="6" fillId="3" borderId="8" xfId="0" applyNumberFormat="1" applyFont="1" applyFill="1" applyBorder="1" applyAlignment="1">
      <x:alignment vertical="center" wrapText="1"/>
    </x:xf>
    <x:xf numFmtId="0" fontId="17" fillId="3" borderId="8" xfId="0" applyNumberFormat="1" applyFont="1" applyFill="1" applyBorder="1" applyAlignment="1">
      <x:alignment vertical="center" wrapText="1"/>
    </x:xf>
    <x:xf numFmtId="200" fontId="6" fillId="3" borderId="8" xfId="0" applyNumberFormat="1" applyFont="1" applyFill="1" applyBorder="1" applyAlignment="1">
      <x:alignment vertical="center"/>
    </x:xf>
    <x:xf numFmtId="202" fontId="6" fillId="3" borderId="8" xfId="0" applyNumberFormat="1" applyFont="1" applyFill="1" applyBorder="1" applyAlignment="1">
      <x:alignment vertical="center" wrapText="1"/>
    </x:xf>
    <x:xf numFmtId="0" fontId="6" fillId="11" borderId="8" xfId="0" applyNumberFormat="1" applyFont="1" applyFill="1" applyBorder="1" applyAlignment="1">
      <x:alignment vertical="center"/>
    </x:xf>
    <x:xf numFmtId="0" fontId="6" fillId="11" borderId="8" xfId="0" applyNumberFormat="1" applyFont="1" applyFill="1" applyBorder="1" applyAlignment="1">
      <x:alignment vertical="center" wrapText="1"/>
    </x:xf>
    <x:xf numFmtId="0" fontId="17" fillId="11" borderId="8" xfId="0" applyNumberFormat="1" applyFont="1" applyFill="1" applyBorder="1" applyAlignment="1">
      <x:alignment vertical="center" wrapText="1"/>
    </x:xf>
    <x:xf numFmtId="200" fontId="6" fillId="11" borderId="8" xfId="0" applyNumberFormat="1" applyFont="1" applyFill="1" applyBorder="1" applyAlignment="1">
      <x:alignment vertical="center"/>
    </x:xf>
    <x:xf numFmtId="0" fontId="6" fillId="11" borderId="11" xfId="0" applyNumberFormat="1" applyFont="1" applyFill="1" applyBorder="1" applyAlignment="1">
      <x:alignment vertical="center"/>
    </x:xf>
    <x:xf numFmtId="0" fontId="6" fillId="11" borderId="11" xfId="0" applyNumberFormat="1" applyFont="1" applyFill="1" applyBorder="1" applyAlignment="1">
      <x:alignment vertical="center" wrapText="1"/>
    </x:xf>
    <x:xf numFmtId="0" fontId="17" fillId="11" borderId="11" xfId="0" applyNumberFormat="1" applyFont="1" applyFill="1" applyBorder="1" applyAlignment="1">
      <x:alignment vertical="center" wrapText="1"/>
    </x:xf>
    <x:xf numFmtId="200" fontId="6" fillId="11" borderId="11" xfId="0" applyNumberFormat="1" applyFont="1" applyFill="1" applyBorder="1" applyAlignment="1">
      <x:alignment vertical="center"/>
    </x:xf>
    <x:xf numFmtId="0" fontId="0" fillId="10" borderId="0" xfId="0" applyNumberFormat="1" applyFont="1" applyFill="1" applyBorder="1"/>
    <x:xf numFmtId="0" fontId="18" fillId="10" borderId="0" xfId="0" applyNumberFormat="1" applyFont="1" applyFill="1" applyBorder="1"/>
    <x:xf numFmtId="0" fontId="18" fillId="10" borderId="0" xfId="0" applyNumberFormat="1" applyFont="1" applyFill="1" applyBorder="1" applyAlignment="1">
      <x:alignment horizontal="center"/>
    </x:xf>
    <x:xf numFmtId="201" fontId="6" fillId="0" borderId="8" xfId="0" applyNumberFormat="1" applyFont="1" applyFill="1" applyBorder="1" applyAlignment="1">
      <x:alignment vertical="center" wrapText="1"/>
    </x:xf>
    <x:xf numFmtId="203" fontId="6" fillId="0" borderId="8"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0" fontId="0" fillId="0" borderId="2" xfId="0" applyNumberFormat="1" applyFont="1" applyFill="1" applyBorder="1" applyAlignment="1">
      <x:alignment vertical="center"/>
    </x:xf>
    <x:xf numFmtId="0" fontId="5"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5" fillId="0" borderId="4" xfId="0" applyNumberFormat="1" applyFont="1" applyFill="1" applyBorder="1" applyAlignment="1">
      <x:alignment vertical="center"/>
    </x:xf>
    <x:xf numFmtId="200" fontId="0" fillId="0" borderId="4" xfId="0" applyNumberFormat="1" applyFont="1" applyFill="1" applyBorder="1" applyAlignment="1">
      <x:alignment vertical="center"/>
    </x:xf>
    <x:xf numFmtId="201" fontId="5" fillId="0" borderId="4" xfId="0" applyNumberFormat="1" applyFont="1" applyFill="1" applyBorder="1" applyAlignment="1">
      <x:alignment vertical="center"/>
    </x:xf>
    <x:xf numFmtId="202" fontId="5"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5" fillId="0" borderId="6" xfId="0" applyNumberFormat="1" applyFont="1" applyFill="1" applyBorder="1" applyAlignment="1">
      <x:alignment vertical="center"/>
    </x:xf>
    <x:xf numFmtId="0" fontId="4" fillId="0" borderId="7" xfId="0" applyNumberFormat="1" applyFont="1" applyFill="1" applyBorder="1" applyAlignment="1">
      <x:alignment vertical="center"/>
    </x:xf>
    <x:xf numFmtId="0" fontId="0" fillId="0" borderId="7" xfId="0" applyNumberFormat="1" applyFont="1" applyFill="1" applyBorder="1" applyAlignment="1">
      <x:alignment vertical="center" wrapText="1"/>
    </x:xf>
    <x:xf numFmtId="0" fontId="4" fillId="0" borderId="8" xfId="0" applyNumberFormat="1" applyFont="1" applyFill="1" applyBorder="1" applyAlignment="1">
      <x:alignment vertical="center"/>
    </x:xf>
    <x:xf numFmtId="0" fontId="0" fillId="0" borderId="8" xfId="0" applyNumberFormat="1" applyFont="1" applyFill="1" applyBorder="1" applyAlignment="1">
      <x:alignment vertical="center" wrapText="1"/>
    </x:xf>
    <x:xf numFmtId="0" fontId="4" fillId="0" borderId="9" xfId="0" applyNumberFormat="1" applyFont="1" applyFill="1" applyBorder="1" applyAlignment="1">
      <x:alignment vertical="center"/>
    </x:xf>
    <x:xf numFmtId="0" fontId="0" fillId="0" borderId="9" xfId="0" applyNumberFormat="1" applyFont="1" applyFill="1" applyBorder="1" applyAlignment="1">
      <x:alignment vertical="center" wrapText="1"/>
    </x:xf>
    <x:xf numFmtId="0" fontId="4" fillId="5" borderId="0" xfId="0" applyNumberFormat="1" applyFont="1" applyFill="1" applyBorder="1" applyAlignment="1">
      <x:alignment horizontal="center" vertical="center"/>
    </x:xf>
    <x:xf numFmtId="0" fontId="0"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0" fillId="7"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9" fillId="0" borderId="0" xfId="0" applyNumberFormat="1" applyFont="1" applyFill="1" applyBorder="1" applyAlignment="1">
      <x:alignment vertical="center"/>
    </x:xf>
    <x:xf numFmtId="0" fontId="10" fillId="4" borderId="0" xfId="0" applyNumberFormat="1" applyFont="1" applyFill="1" applyBorder="1" applyAlignment="1">
      <x:alignment horizontal="left" vertical="center"/>
    </x:xf>
    <x:xf numFmtId="0" fontId="8" fillId="7" borderId="12" xfId="0" applyNumberFormat="1" applyFont="1" applyFill="1" applyBorder="1" applyAlignment="1">
      <x:alignment horizontal="center" vertical="center"/>
    </x:xf>
    <x:xf numFmtId="0" fontId="4" fillId="0" borderId="0" xfId="0" applyNumberFormat="1" applyFont="1" applyFill="1" applyBorder="1" applyAlignment="1">
      <x:alignment vertical="center"/>
    </x:xf>
    <x:xf numFmtId="0" fontId="5" fillId="7" borderId="0" xfId="0" applyNumberFormat="1" applyFont="1" applyFill="1" applyBorder="1" applyAlignment="1">
      <x:alignment horizontal="center" vertical="center"/>
    </x:xf>
    <x:xf numFmtId="0" fontId="0" fillId="0" borderId="0" xfId="0" applyNumberFormat="1" applyFont="1" applyFill="1" applyBorder="1" applyAlignment="1">
      <x:alignment horizontal="right" vertical="center"/>
    </x:xf>
    <x:xf numFmtId="201" fontId="0" fillId="0" borderId="0" xfId="0" applyNumberFormat="1" applyFont="1" applyFill="1" applyBorder="1" applyAlignment="1">
      <x:alignment horizontal="right" vertical="center"/>
    </x:xf>
    <x:xf numFmtId="201" fontId="0" fillId="0" borderId="10" xfId="0" applyNumberFormat="1" applyFont="1" applyFill="1" applyBorder="1" applyAlignment="1">
      <x:alignment horizontal="right" vertical="center"/>
    </x:xf>
    <x:xf numFmtId="0" fontId="7" fillId="8" borderId="0" xfId="0" applyNumberFormat="1" applyFont="1" applyFill="1" applyBorder="1" applyAlignment="1">
      <x:alignment horizontal="center" vertical="center"/>
    </x:xf>
    <x:xf numFmtId="0" fontId="10" fillId="4" borderId="0" xfId="0" applyNumberFormat="1" applyFont="1" applyFill="1" applyBorder="1" applyAlignment="1">
      <x:alignment horizontal="center" vertical="center"/>
    </x:xf>
    <x:xf numFmtId="0" fontId="15" fillId="0" borderId="0" xfId="0" applyNumberFormat="1" applyFont="1" applyFill="1" applyBorder="1" applyAlignment="1">
      <x:alignment horizontal="center" vertical="center"/>
    </x:xf>
    <x:xf numFmtId="0" fontId="18" fillId="10" borderId="0" xfId="0" applyNumberFormat="1" applyFont="1" applyFill="1" applyBorder="1" applyAlignment="1">
      <x:alignment horizontal="center" vertical="center"/>
    </x:xf>
  </x:cellXfs>
  <x:cellStyles count="1">
    <x:cellStyle name="Normal" xfId="0"/>
  </x:cellStyles>
  <x:dxfs count="16">
    <x:dxf>
      <x:font>
        <x:b/>
        <x:color rgb="FF548235"/>
      </x:font>
      <x:fill>
        <x:patternFill patternType="solid">
          <x:bgColor rgb="FFE2F0D9"/>
        </x:patternFill>
      </x:fill>
    </x:dxf>
    <x:dxf>
      <x:font>
        <x:b/>
        <x:color rgb="FFC55A11"/>
      </x:font>
      <x:fill>
        <x:patternFill patternType="solid">
          <x:bgColor rgb="FFFFF2CC"/>
        </x:patternFill>
      </x:fill>
    </x:dxf>
    <x:dxf>
      <x:font>
        <x:b/>
        <x:color rgb="FFC00000"/>
      </x:font>
      <x:fill>
        <x:patternFill patternType="solid">
          <x:bgColor rgb="FFFCE8E6"/>
        </x:patternFill>
      </x:fill>
    </x:dxf>
    <x:dxf>
      <x:font>
        <x:b/>
        <x:color rgb="FF548235"/>
      </x:font>
      <x:fill>
        <x:patternFill patternType="solid">
          <x:bgColor rgb="FFE2F0D9"/>
        </x:patternFill>
      </x:fill>
    </x:dxf>
    <x:dxf>
      <x:font>
        <x:b/>
        <x:color rgb="FFC55A11"/>
      </x:font>
      <x:fill>
        <x:patternFill patternType="solid">
          <x:bgColor rgb="FFFFF2CC"/>
        </x:patternFill>
      </x:fill>
    </x:dxf>
    <x:dxf>
      <x:font>
        <x:b/>
        <x:color rgb="FFC00000"/>
      </x:font>
      <x:fill>
        <x:patternFill patternType="solid">
          <x:bgColor rgb="FFFCE8E6"/>
        </x:patternFill>
      </x:fill>
    </x:dxf>
    <x:dxf>
      <x:font>
        <x:color rgb="FFC00000"/>
      </x:font>
      <x:fill>
        <x:patternFill patternType="solid">
          <x:bgColor rgb="FFFCE8E6"/>
        </x:patternFill>
      </x:fill>
    </x:dxf>
    <x:dxf>
      <x:font>
        <x:b/>
        <x:color rgb="FF548235"/>
      </x:font>
      <x:fill>
        <x:patternFill patternType="solid">
          <x:bgColor rgb="FFE2F0D9"/>
        </x:patternFill>
      </x:fill>
    </x:dxf>
    <x:dxf>
      <x:font>
        <x:b/>
        <x:color rgb="FF548235"/>
      </x:font>
      <x:fill>
        <x:patternFill patternType="solid">
          <x:bgColor rgb="FFE2F0D9"/>
        </x:patternFill>
      </x:fill>
    </x:dxf>
    <x:dxf>
      <x:font>
        <x:b/>
        <x:color rgb="FFC55A11"/>
      </x:font>
      <x:fill>
        <x:patternFill patternType="solid">
          <x:bgColor rgb="FFFFF2CC"/>
        </x:patternFill>
      </x:fill>
    </x:dxf>
    <x:dxf>
      <x:font>
        <x:b/>
        <x:color rgb="FFC00000"/>
      </x:font>
      <x:fill>
        <x:patternFill patternType="solid">
          <x:bgColor rgb="FFFCE8E6"/>
        </x:patternFill>
      </x:fill>
    </x:dxf>
    <x:dxf>
      <x:font>
        <x:b/>
        <x:color rgb="FF548235"/>
      </x:font>
      <x:fill>
        <x:patternFill patternType="solid">
          <x:bgColor rgb="FFE2F0D9"/>
        </x:patternFill>
      </x:fill>
    </x:dxf>
    <x:dxf>
      <x:font>
        <x:b/>
        <x:color rgb="FFC00000"/>
      </x:font>
      <x:fill>
        <x:patternFill patternType="solid">
          <x:bgColor rgb="FFFCE8E6"/>
        </x:patternFill>
      </x:fill>
    </x:dxf>
    <x:dxf>
      <x:font>
        <x:b/>
        <x:color rgb="FFC00000"/>
      </x:font>
      <x:fill>
        <x:patternFill patternType="solid">
          <x:bgColor rgb="FFFCE8E6"/>
        </x:patternFill>
      </x:fill>
    </x:dxf>
    <x:dxf>
      <x:font>
        <x:b/>
        <x:color rgb="FF548235"/>
      </x:font>
      <x:fill>
        <x:patternFill patternType="solid">
          <x:bgColor rgb="FFE2F0D9"/>
        </x:patternFill>
      </x:fill>
    </x:dxf>
    <x:dxf>
      <x:font>
        <x:b/>
        <x:color rgb="FFC00000"/>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69af17699c445d" /><Relationship Type="http://schemas.openxmlformats.org/officeDocument/2006/relationships/theme" Target="/xl/theme/theme1.xml" Id="R5f6c56092ddb40a3" /><Relationship Type="http://schemas.openxmlformats.org/officeDocument/2006/relationships/sharedStrings" Target="/xl/sharedStrings.xml" Id="R3f36896d5d7f42de" /><Relationship Type="http://schemas.openxmlformats.org/officeDocument/2006/relationships/worksheet" Target="/xl/worksheets/sheet1.xml" Id="Rf787dc8d592441d3" /><Relationship Type="http://schemas.openxmlformats.org/officeDocument/2006/relationships/worksheet" Target="/xl/worksheets/sheet2.xml" Id="Rf8873ebf472c4fec" /><Relationship Type="http://schemas.openxmlformats.org/officeDocument/2006/relationships/worksheet" Target="/xl/worksheets/sheet3.xml" Id="R24c511281bfd4f77" /><Relationship Type="http://schemas.openxmlformats.org/officeDocument/2006/relationships/worksheet" Target="/xl/worksheets/sheet4.xml" Id="R8aa90aa26bbf4356" /><Relationship Type="http://schemas.openxmlformats.org/officeDocument/2006/relationships/worksheet" Target="/xl/worksheets/sheet5.xml" Id="R362dfad82cd74d95" /><Relationship Type="http://schemas.openxmlformats.org/officeDocument/2006/relationships/worksheet" Target="/xl/worksheets/sheet6.xml" Id="Rd7b03cd5d8cf4fc0" /><Relationship Type="http://schemas.openxmlformats.org/officeDocument/2006/relationships/worksheet" Target="/xl/worksheets/sheet7.xml" Id="R31ec6243deec4d4a" /><Relationship Type="http://schemas.openxmlformats.org/officeDocument/2006/relationships/worksheet" Target="/xl/worksheets/sheet8.xml" Id="R1c0c366cda724310" /><Relationship Type="http://schemas.microsoft.com/office/2017/10/relationships/person" Target="/xl/persons/person.xml" Id="R9da842047759469d" /></Relationships>
</file>

<file path=xl/drawings/_rels/drawing1.xml.rels>&#65279;<?xml version="1.0" encoding="utf-8"?><Relationships xmlns="http://schemas.openxmlformats.org/package/2006/relationships"><Relationship Type="http://schemas.openxmlformats.org/officeDocument/2006/relationships/chart" Target="/xl/drawings/charts/chart1.xml" Id="R8296ae781dad4862" /><Relationship Type="http://schemas.openxmlformats.org/officeDocument/2006/relationships/chart" Target="/xl/drawings/charts/chart2.xml" Id="R3bc195b9abcf44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Annual after-tax free cash flow (SEK)</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After-tax FCF</c:v>
          </c:tx>
          <c:spPr>
            <a:solidFill xmlns:a="http://schemas.openxmlformats.org/drawingml/2006/main">
              <a:srgbClr val="4472C4"/>
            </a:solidFill>
          </c:spPr>
          <c:cat>
            <c:strRef>
              <c:f>'05_Dashboard'!$A$39:$A$44</c:f>
              <c:strCache>
                <c:ptCount val="0"/>
              </c:strCache>
            </c:strRef>
          </c:cat>
          <c:val>
            <c:numRef>
              <c:f>'05_Dashboard'!$B$39:$B$44</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Five-year NPV by scenario (SEK)</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NPV</c:v>
          </c:tx>
          <c:spPr>
            <a:solidFill xmlns:a="http://schemas.openxmlformats.org/drawingml/2006/main">
              <a:srgbClr val="D6B656"/>
            </a:solidFill>
          </c:spPr>
          <c:cat>
            <c:strRef>
              <c:f>'05_Dashboard'!$D$39:$D$41</c:f>
              <c:strCache>
                <c:ptCount val="0"/>
              </c:strCache>
            </c:strRef>
          </c:cat>
          <c:val>
            <c:numRef>
              <c:f>'05_Dashboard'!$E$39:$E$41</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13</xdr:row>
      <xdr:rowOff>0</xdr:rowOff>
    </xdr:from>
    <xdr:to>
      <xdr:col>15</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96ae781dad4862"/>
        </a:graphicData>
      </a:graphic>
    </xdr:graphicFrame>
    <xdr:clientData/>
  </xdr:twoCellAnchor>
  <xdr:twoCellAnchor>
    <xdr:from>
      <xdr:col>7</xdr:col>
      <xdr:colOff>0</xdr:colOff>
      <xdr:row>28</xdr:row>
      <xdr:rowOff>0</xdr:rowOff>
    </xdr:from>
    <xdr:to>
      <xdr:col>15</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c195b9abcf4408"/>
        </a:graphicData>
      </a:graphic>
    </xdr:graphicFrame>
    <xdr:clientData/>
  </xdr:twoCellAnchor>
</xdr:wsDr>
</file>

<file path=xl/persons/person.xml><?xml version="1.0" encoding="utf-8"?>
<xltc:personList xmlns:xltc="http://schemas.microsoft.com/office/spreadsheetml/2018/threadedcomments">
  <xltc:person displayName="Robin Ling" id="{7C8E2FC0-932F-4E5B-8FBE-8047150D37F8}"/>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D6" dT="2026-08-10T01:34:50.101" personId="{7C8E2FC0-932F-4E5B-8FBE-8047150D37F8}" id="{49DFFF8D-8DA4-BE78-3B03-23E7A44BB08D}">
    <xltc:text>Source ID: A1
Five-year horizon keeps the case compact and interview-friendly.
Editable scenario input; see 06_Sources for the audit trail.</xltc:text>
  </xltc:threadedComment>
  <xltc:threadedComment ref="E6" dT="2026-08-10T01:34:50.102" personId="{7C8E2FC0-932F-4E5B-8FBE-8047150D37F8}" id="{8CFED2F9-A170-5B95-C9BB-439AF006F24C}">
    <xltc:text>Source ID: A1
Five-year horizon keeps the case compact and interview-friendly.
Editable scenario input; see 06_Sources for the audit trail.</xltc:text>
  </xltc:threadedComment>
  <xltc:threadedComment ref="F6" dT="2026-08-10T01:34:50.102" personId="{7C8E2FC0-932F-4E5B-8FBE-8047150D37F8}" id="{6A392B07-2BF8-61AD-5F00-A7332B6D12AB}">
    <xltc:text>Source ID: A1
Five-year horizon keeps the case compact and interview-friendly.
Editable scenario input; see 06_Sources for the audit trail.</xltc:text>
  </xltc:threadedComment>
  <xltc:threadedComment ref="D7" dT="2026-08-10T01:34:50.102" personId="{7C8E2FC0-932F-4E5B-8FBE-8047150D37F8}" id="{E8608603-BD47-EEE5-0E89-DB10A432FEC6}">
    <xltc:text>Source ID: A2
Illustrative hurdle-rate range; replace with company WACC or approved investment hurdle.
Editable scenario input; see 06_Sources for the audit trail.</xltc:text>
  </xltc:threadedComment>
  <xltc:threadedComment ref="E7" dT="2026-08-10T01:34:50.102" personId="{7C8E2FC0-932F-4E5B-8FBE-8047150D37F8}" id="{A4023248-AC1D-78D3-C10F-558F7F37D990}">
    <xltc:text>Source ID: A2
Illustrative hurdle-rate range; replace with company WACC or approved investment hurdle.
Editable scenario input; see 06_Sources for the audit trail.</xltc:text>
  </xltc:threadedComment>
  <xltc:threadedComment ref="F7" dT="2026-08-10T01:34:50.102" personId="{7C8E2FC0-932F-4E5B-8FBE-8047150D37F8}" id="{43454E9A-726F-0720-4256-E65DA0C93521}">
    <xltc:text>Source ID: A2
Illustrative hurdle-rate range; replace with company WACC or approved investment hurdle.
Editable scenario input; see 06_Sources for the audit trail.</xltc:text>
  </xltc:threadedComment>
  <xltc:threadedComment ref="D8" dT="2026-08-10T01:34:50.102" personId="{7C8E2FC0-932F-4E5B-8FBE-8047150D37F8}" id="{2DE7E969-D636-140F-49B1-B516155A6E9C}">
    <xltc:text>Source ID: S4
Swedish corporate income tax rate used as a simplified cash-tax assumption.
Editable scenario input; see 06_Sources for the audit trail.</xltc:text>
  </xltc:threadedComment>
  <xltc:threadedComment ref="E8" dT="2026-08-10T01:34:50.102" personId="{7C8E2FC0-932F-4E5B-8FBE-8047150D37F8}" id="{5755F34B-C7EC-3006-5202-3C3EA8CEBC4A}">
    <xltc:text>Source ID: S4
Swedish corporate income tax rate used as a simplified cash-tax assumption.
Editable scenario input; see 06_Sources for the audit trail.</xltc:text>
  </xltc:threadedComment>
  <xltc:threadedComment ref="F8" dT="2026-08-10T01:34:50.102" personId="{7C8E2FC0-932F-4E5B-8FBE-8047150D37F8}" id="{D63A1FEF-3B0A-7ABD-5E3B-491A8BBB88C6}">
    <xltc:text>Source ID: S4
Swedish corporate income tax rate used as a simplified cash-tax assumption.
Editable scenario input; see 06_Sources for the audit trail.</xltc:text>
  </xltc:threadedComment>
  <xltc:threadedComment ref="D9" dT="2026-08-10T01:34:50.102" personId="{7C8E2FC0-932F-4E5B-8FBE-8047150D37F8}" id="{CD1488BA-7699-9C38-EE32-8A2A3516D052}">
    <xltc:text>Source ID: A3
Straight-line depreciation for modelling simplicity; confirm tax treatment.
Editable scenario input; see 06_Sources for the audit trail.</xltc:text>
  </xltc:threadedComment>
  <xltc:threadedComment ref="E9" dT="2026-08-10T01:34:50.102" personId="{7C8E2FC0-932F-4E5B-8FBE-8047150D37F8}" id="{0F4D09AF-AFA5-9FEE-EAC1-EDA87F708834}">
    <xltc:text>Source ID: A3
Straight-line depreciation for modelling simplicity; confirm tax treatment.
Editable scenario input; see 06_Sources for the audit trail.</xltc:text>
  </xltc:threadedComment>
  <xltc:threadedComment ref="F9" dT="2026-08-10T01:34:50.102" personId="{7C8E2FC0-932F-4E5B-8FBE-8047150D37F8}" id="{6586E728-90CD-1F5D-4B28-561604E6B166}">
    <xltc:text>Source ID: A3
Straight-line depreciation for modelling simplicity; confirm tax treatment.
Editable scenario input; see 06_Sources for the audit trail.</xltc:text>
  </xltc:threadedComment>
  <xltc:threadedComment ref="D10" dT="2026-08-10T01:34:50.102" personId="{7C8E2FC0-932F-4E5B-8FBE-8047150D37F8}" id="{BFC2815F-BD91-2A60-7B5C-C2452CAA53DA}">
    <xltc:text>Source ID: A4
Primary operating-condition driver; confirm production schedule.
Editable scenario input; see 06_Sources for the audit trail.</xltc:text>
  </xltc:threadedComment>
  <xltc:threadedComment ref="E10" dT="2026-08-10T01:34:50.102" personId="{7C8E2FC0-932F-4E5B-8FBE-8047150D37F8}" id="{3D19C615-1F70-9389-78B1-AB7B2093E7FA}">
    <xltc:text>Source ID: A4
Primary operating-condition driver; confirm production schedule.
Editable scenario input; see 06_Sources for the audit trail.</xltc:text>
  </xltc:threadedComment>
  <xltc:threadedComment ref="F10" dT="2026-08-10T01:34:50.103" personId="{7C8E2FC0-932F-4E5B-8FBE-8047150D37F8}" id="{A05B1A12-0181-293A-CF8E-833DFF5B8005}">
    <xltc:text>Source ID: A4
Primary operating-condition driver; confirm production schedule.
Editable scenario input; see 06_Sources for the audit trail.</xltc:text>
  </xltc:threadedComment>
  <xltc:threadedComment ref="D11" dT="2026-08-10T01:34:50.103" personId="{7C8E2FC0-932F-4E5B-8FBE-8047150D37F8}" id="{0D28A246-F04A-6B43-CD42-FEAFA76A9279}">
    <xltc:text>Source ID: A5
Scenario range for planned production days.
Editable scenario input; see 06_Sources for the audit trail.</xltc:text>
  </xltc:threadedComment>
  <xltc:threadedComment ref="E11" dT="2026-08-10T01:34:50.103" personId="{7C8E2FC0-932F-4E5B-8FBE-8047150D37F8}" id="{4E0E335C-BC06-A902-98FD-E6F4E6E00355}">
    <xltc:text>Source ID: A5
Scenario range for planned production days.
Editable scenario input; see 06_Sources for the audit trail.</xltc:text>
  </xltc:threadedComment>
  <xltc:threadedComment ref="F11" dT="2026-08-10T01:34:50.103" personId="{7C8E2FC0-932F-4E5B-8FBE-8047150D37F8}" id="{DCD93026-9E22-9B61-1B35-6DA63D09FEA3}">
    <xltc:text>Source ID: A5
Scenario range for planned production days.
Editable scenario input; see 06_Sources for the audit trail.</xltc:text>
  </xltc:threadedComment>
  <xltc:threadedComment ref="D12" dT="2026-08-10T01:34:50.103" personId="{7C8E2FC0-932F-4E5B-8FBE-8047150D37F8}" id="{7F3B2D1A-8F6F-1BFC-8EC3-6EB87C84908C}">
    <xltc:text>Source ID: A6
Excludes planned breaks and non-productive time.
Editable scenario input; see 06_Sources for the audit trail.</xltc:text>
  </xltc:threadedComment>
  <xltc:threadedComment ref="E12" dT="2026-08-10T01:34:50.103" personId="{7C8E2FC0-932F-4E5B-8FBE-8047150D37F8}" id="{40A67F9B-6523-08B8-E6CC-DF0465E567F0}">
    <xltc:text>Source ID: A6
Excludes planned breaks and non-productive time.
Editable scenario input; see 06_Sources for the audit trail.</xltc:text>
  </xltc:threadedComment>
  <xltc:threadedComment ref="F12" dT="2026-08-10T01:34:50.103" personId="{7C8E2FC0-932F-4E5B-8FBE-8047150D37F8}" id="{A6710E50-88A2-DFE6-EA9A-8105F1436E18}">
    <xltc:text>Source ID: A6
Excludes planned breaks and non-productive time.
Editable scenario input; see 06_Sources for the audit trail.</xltc:text>
  </xltc:threadedComment>
  <xltc:threadedComment ref="D13" dT="2026-08-10T01:34:50.103" personId="{7C8E2FC0-932F-4E5B-8FBE-8047150D37F8}" id="{56D17E2F-E016-BFC9-23F5-6DFE29146C9A}">
    <xltc:text>Source ID: A7
One person currently allocated to manual palletizing per shift.
Editable scenario input; see 06_Sources for the audit trail.</xltc:text>
  </xltc:threadedComment>
  <xltc:threadedComment ref="E13" dT="2026-08-10T01:34:50.103" personId="{7C8E2FC0-932F-4E5B-8FBE-8047150D37F8}" id="{878BED53-7B0A-62DB-12E2-365F8FE3A7E0}">
    <xltc:text>Source ID: A7
One person currently allocated to manual palletizing per shift.
Editable scenario input; see 06_Sources for the audit trail.</xltc:text>
  </xltc:threadedComment>
  <xltc:threadedComment ref="F13" dT="2026-08-10T01:34:50.103" personId="{7C8E2FC0-932F-4E5B-8FBE-8047150D37F8}" id="{DD2C4C1D-3FC3-CE25-BE59-383034D5A6AA}">
    <xltc:text>Source ID: A7
One person currently allocated to manual palletizing per shift.
Editable scenario input; see 06_Sources for the audit trail.</xltc:text>
  </xltc:threadedComment>
  <xltc:threadedComment ref="D14" dT="2026-08-10T01:34:50.103" personId="{7C8E2FC0-932F-4E5B-8FBE-8047150D37F8}" id="{4BCE1D42-FC33-7B21-5889-14071CDE0587}">
    <xltc:text>Source ID: A8
Share of addressable labor cost that can truly be removed or redeployed to measured value-added work.
Editable scenario input; see 06_Sources for the audit trail.</xltc:text>
  </xltc:threadedComment>
  <xltc:threadedComment ref="E14" dT="2026-08-10T01:34:50.103" personId="{7C8E2FC0-932F-4E5B-8FBE-8047150D37F8}" id="{55DABD62-123A-11D0-84E0-A87DD35D8B6F}">
    <xltc:text>Source ID: A8
Share of addressable labor cost that can truly be removed or redeployed to measured value-added work.
Editable scenario input; see 06_Sources for the audit trail.</xltc:text>
  </xltc:threadedComment>
  <xltc:threadedComment ref="F14" dT="2026-08-10T01:34:50.103" personId="{7C8E2FC0-932F-4E5B-8FBE-8047150D37F8}" id="{D0BF6149-2963-CE3B-395E-6D07BBC0DEE2}">
    <xltc:text>Source ID: A8
Share of addressable labor cost that can truly be removed or redeployed to measured value-added work.
Editable scenario input; see 06_Sources for the audit trail.</xltc:text>
  </xltc:threadedComment>
  <xltc:threadedComment ref="D15" dT="2026-08-10T01:34:50.103" personId="{7C8E2FC0-932F-4E5B-8FBE-8047150D37F8}" id="{04ED9111-AB27-9533-8B4B-3D21CC082452}">
    <xltc:text>Source ID: A9
Availability assumption pending site trial and maintenance plan.
Editable scenario input; see 06_Sources for the audit trail.</xltc:text>
  </xltc:threadedComment>
  <xltc:threadedComment ref="E15" dT="2026-08-10T01:34:50.103" personId="{7C8E2FC0-932F-4E5B-8FBE-8047150D37F8}" id="{B74EC48E-295F-3298-CC08-21240B628873}">
    <xltc:text>Source ID: A9
Availability assumption pending site trial and maintenance plan.
Editable scenario input; see 06_Sources for the audit trail.</xltc:text>
  </xltc:threadedComment>
  <xltc:threadedComment ref="F15" dT="2026-08-10T01:34:50.103" personId="{7C8E2FC0-932F-4E5B-8FBE-8047150D37F8}" id="{EC03B7C4-25A2-C106-7857-5D274F13A024}">
    <xltc:text>Source ID: A9
Availability assumption pending site trial and maintenance plan.
Editable scenario input; see 06_Sources for the audit trail.</xltc:text>
  </xltc:threadedComment>
  <xltc:threadedComment ref="D16" dT="2026-08-10T01:34:50.103" personId="{7C8E2FC0-932F-4E5B-8FBE-8047150D37F8}" id="{AEB607A4-A208-FC5E-A524-14680C58C9CF}">
    <xltc:text>Source ID: A10
Scenario range; not a forecast.
Editable scenario input; see 06_Sources for the audit trail.</xltc:text>
  </xltc:threadedComment>
  <xltc:threadedComment ref="E16" dT="2026-08-10T01:34:50.103" personId="{7C8E2FC0-932F-4E5B-8FBE-8047150D37F8}" id="{D40BE5B2-FF48-9044-8E91-F6790ECBD74B}">
    <xltc:text>Source ID: A10
Scenario range; not a forecast.
Editable scenario input; see 06_Sources for the audit trail.</xltc:text>
  </xltc:threadedComment>
  <xltc:threadedComment ref="F16" dT="2026-08-10T01:34:50.103" personId="{7C8E2FC0-932F-4E5B-8FBE-8047150D37F8}" id="{3CCAFBA3-1784-7146-FF2F-00BD89402F7F}">
    <xltc:text>Source ID: A10
Scenario range; not a forecast.
Editable scenario input; see 06_Sources for the audit trail.</xltc:text>
  </xltc:threadedComment>
  <xltc:threadedComment ref="D17" dT="2026-08-10T01:34:50.103" personId="{7C8E2FC0-932F-4E5B-8FBE-8047150D37F8}" id="{5A8AB3CA-3BF8-227A-ED43-A9006BB5F90A}">
    <xltc:text>Source ID: S3 / A11
Rounded scenario range anchored to public labor-cost data; replace with site payroll and overhead.
Editable scenario input; see 06_Sources for the audit trail.</xltc:text>
  </xltc:threadedComment>
  <xltc:threadedComment ref="E17" dT="2026-08-10T01:34:50.103" personId="{7C8E2FC0-932F-4E5B-8FBE-8047150D37F8}" id="{4595BAE8-F51D-6081-6CF9-53F8BABD8801}">
    <xltc:text>Source ID: S3 / A11
Rounded scenario range anchored to public labor-cost data; replace with site payroll and overhead.
Editable scenario input; see 06_Sources for the audit trail.</xltc:text>
  </xltc:threadedComment>
  <xltc:threadedComment ref="F17" dT="2026-08-10T01:34:50.103" personId="{7C8E2FC0-932F-4E5B-8FBE-8047150D37F8}" id="{CD2D1508-E4D7-9628-C2D1-B6337567460F}">
    <xltc:text>Source ID: S3 / A11
Rounded scenario range anchored to public labor-cost data; replace with site payroll and overhead.
Editable scenario input; see 06_Sources for the audit trail.</xltc:text>
  </xltc:threadedComment>
  <xltc:threadedComment ref="D18" dT="2026-08-10T01:34:50.103" personId="{7C8E2FC0-932F-4E5B-8FBE-8047150D37F8}" id="{1D533FD3-8A1E-A70E-6C31-D7D50DDFD04F}">
    <xltc:text>Source ID: S2
UR case study reports handling products up to 12 kg.
Editable scenario input; see 06_Sources for the audit trail.</xltc:text>
  </xltc:threadedComment>
  <xltc:threadedComment ref="E18" dT="2026-08-10T01:34:50.103" personId="{7C8E2FC0-932F-4E5B-8FBE-8047150D37F8}" id="{77E4A7CC-EB7B-03FA-245B-EF723C818B6B}">
    <xltc:text>Source ID: S2
UR case study reports handling products up to 12 kg.
Editable scenario input; see 06_Sources for the audit trail.</xltc:text>
  </xltc:threadedComment>
  <xltc:threadedComment ref="F18" dT="2026-08-10T01:34:50.103" personId="{7C8E2FC0-932F-4E5B-8FBE-8047150D37F8}" id="{70034002-099D-A1E1-7B28-943D8240AD11}">
    <xltc:text>Source ID: S2
UR case study reports handling products up to 12 kg.
Editable scenario input; see 06_Sources for the audit trail.</xltc:text>
  </xltc:threadedComment>
  <xltc:threadedComment ref="D19" dT="2026-08-10T01:34:50.103" personId="{7C8E2FC0-932F-4E5B-8FBE-8047150D37F8}" id="{304C2CC2-B2BC-2230-8735-48268C62AE18}">
    <xltc:text>Source ID: A12
Placeholder for gripper and tooling; verify supplier specification.
Editable scenario input; see 06_Sources for the audit trail.</xltc:text>
  </xltc:threadedComment>
  <xltc:threadedComment ref="E19" dT="2026-08-10T01:34:50.103" personId="{7C8E2FC0-932F-4E5B-8FBE-8047150D37F8}" id="{272F8853-5524-DF0C-B009-F48F060067E3}">
    <xltc:text>Source ID: A12
Placeholder for gripper and tooling; verify supplier specification.
Editable scenario input; see 06_Sources for the audit trail.</xltc:text>
  </xltc:threadedComment>
  <xltc:threadedComment ref="F19" dT="2026-08-10T01:34:50.103" personId="{7C8E2FC0-932F-4E5B-8FBE-8047150D37F8}" id="{07790DC5-0540-8076-F95B-526B539D9329}">
    <xltc:text>Source ID: A12
Placeholder for gripper and tooling; verify supplier specification.
Editable scenario input; see 06_Sources for the audit trail.</xltc:text>
  </xltc:threadedComment>
  <xltc:threadedComment ref="D20" dT="2026-08-10T01:34:50.104" personId="{7C8E2FC0-932F-4E5B-8FBE-8047150D37F8}" id="{ACBA2355-5F39-09C1-5C4D-592C11D76100}">
    <xltc:text>Source ID: S1
Conservative nominal payload; UR states up to 25 kg under boundary conditions.
Editable scenario input; see 06_Sources for the audit trail.</xltc:text>
  </xltc:threadedComment>
  <xltc:threadedComment ref="E20" dT="2026-08-10T01:34:50.104" personId="{7C8E2FC0-932F-4E5B-8FBE-8047150D37F8}" id="{B48DF2C9-085F-482A-3742-2943F5E34952}">
    <xltc:text>Source ID: S1
Conservative nominal payload; UR states up to 25 kg under boundary conditions.
Editable scenario input; see 06_Sources for the audit trail.</xltc:text>
  </xltc:threadedComment>
  <xltc:threadedComment ref="F20" dT="2026-08-10T01:34:50.104" personId="{7C8E2FC0-932F-4E5B-8FBE-8047150D37F8}" id="{824FB7DF-E469-7FE3-2070-84F198B507B8}">
    <xltc:text>Source ID: S1
Conservative nominal payload; UR states up to 25 kg under boundary conditions.
Editable scenario input; see 06_Sources for the audit trail.</xltc:text>
  </xltc:threadedComment>
  <xltc:threadedComment ref="D21" dT="2026-08-10T01:34:50.104" personId="{7C8E2FC0-932F-4E5B-8FBE-8047150D37F8}" id="{50030AC2-1C80-67E8-D1DA-BAFCD56C4AC6}">
    <xltc:text>Source ID: S1
Published UR20 reach.
Editable scenario input; see 06_Sources for the audit trail.</xltc:text>
  </xltc:threadedComment>
  <xltc:threadedComment ref="E21" dT="2026-08-10T01:34:50.104" personId="{7C8E2FC0-932F-4E5B-8FBE-8047150D37F8}" id="{3C924928-9511-5A9D-4C87-6F1521902ECD}">
    <xltc:text>Source ID: S1
Published UR20 reach.
Editable scenario input; see 06_Sources for the audit trail.</xltc:text>
  </xltc:threadedComment>
  <xltc:threadedComment ref="F21" dT="2026-08-10T01:34:50.104" personId="{7C8E2FC0-932F-4E5B-8FBE-8047150D37F8}" id="{5942F292-D158-CB1E-18BC-FFB7414C7CAB}">
    <xltc:text>Source ID: S1
Published UR20 reach.
Editable scenario input; see 06_Sources for the audit trail.</xltc:text>
  </xltc:threadedComment>
  <xltc:threadedComment ref="D22" dT="2026-08-10T01:34:50.104" personId="{7C8E2FC0-932F-4E5B-8FBE-8047150D37F8}" id="{4FAE3F37-6AC1-A00A-DB3D-51565F5DF138}">
    <xltc:text>Source ID: A13
Current process demand; must be measured on site.
Editable scenario input; see 06_Sources for the audit trail.</xltc:text>
  </xltc:threadedComment>
  <xltc:threadedComment ref="E22" dT="2026-08-10T01:34:50.104" personId="{7C8E2FC0-932F-4E5B-8FBE-8047150D37F8}" id="{1660CF69-AECD-88EF-C628-F011179998AD}">
    <xltc:text>Source ID: A13
Current process demand; must be measured on site.
Editable scenario input; see 06_Sources for the audit trail.</xltc:text>
  </xltc:threadedComment>
  <xltc:threadedComment ref="F22" dT="2026-08-10T01:34:50.104" personId="{7C8E2FC0-932F-4E5B-8FBE-8047150D37F8}" id="{39AE0AB0-A29B-47AA-E267-86D7BE1BA29E}">
    <xltc:text>Source ID: A13
Current process demand; must be measured on site.
Editable scenario input; see 06_Sources for the audit trail.</xltc:text>
  </xltc:threadedComment>
  <xltc:threadedComment ref="D23" dT="2026-08-10T01:34:50.104" personId="{7C8E2FC0-932F-4E5B-8FBE-8047150D37F8}" id="{9EA4B71A-7A89-C222-0A89-5333B59736C1}">
    <xltc:text>Source ID: A14
Illustrative cycle-rate range; requires layout and cycle-time study.
Editable scenario input; see 06_Sources for the audit trail.</xltc:text>
  </xltc:threadedComment>
  <xltc:threadedComment ref="E23" dT="2026-08-10T01:34:50.104" personId="{7C8E2FC0-932F-4E5B-8FBE-8047150D37F8}" id="{0912B3D6-AC05-2942-06BF-B3C06E571866}">
    <xltc:text>Source ID: A14
Illustrative cycle-rate range; requires layout and cycle-time study.
Editable scenario input; see 06_Sources for the audit trail.</xltc:text>
  </xltc:threadedComment>
  <xltc:threadedComment ref="F23" dT="2026-08-10T01:34:50.104" personId="{7C8E2FC0-932F-4E5B-8FBE-8047150D37F8}" id="{B3C355EA-4BB7-3F9C-40BA-255B685DBAFD}">
    <xltc:text>Source ID: A14
Illustrative cycle-rate range; requires layout and cycle-time study.
Editable scenario input; see 06_Sources for the audit trail.</xltc:text>
  </xltc:threadedComment>
  <xltc:threadedComment ref="D24" dT="2026-08-10T01:34:50.104" personId="{7C8E2FC0-932F-4E5B-8FBE-8047150D37F8}" id="{B0FC69AC-4470-98E6-6415-846F161A7140}">
    <xltc:text>Source ID: S1
UR20 data sheet: 750 W maximum and about 500 W in a typical program; 300 W used as upside case.
Editable scenario input; see 06_Sources for the audit trail.</xltc:text>
  </xltc:threadedComment>
  <xltc:threadedComment ref="E24" dT="2026-08-10T01:34:50.104" personId="{7C8E2FC0-932F-4E5B-8FBE-8047150D37F8}" id="{1A24EA2F-04DA-4D15-08C5-E03AFB8B7BCE}">
    <xltc:text>Source ID: S1
UR20 data sheet: 750 W maximum and about 500 W in a typical program; 300 W used as upside case.
Editable scenario input; see 06_Sources for the audit trail.</xltc:text>
  </xltc:threadedComment>
  <xltc:threadedComment ref="F24" dT="2026-08-10T01:34:50.104" personId="{7C8E2FC0-932F-4E5B-8FBE-8047150D37F8}" id="{FAC91402-5D68-DAF5-962A-85B89AB61C7D}">
    <xltc:text>Source ID: S1
UR20 data sheet: 750 W maximum and about 500 W in a typical program; 300 W used as upside case.
Editable scenario input; see 06_Sources for the audit trail.</xltc:text>
  </xltc:threadedComment>
  <xltc:threadedComment ref="D25" dT="2026-08-10T01:34:50.104" personId="{7C8E2FC0-932F-4E5B-8FBE-8047150D37F8}" id="{651CE3DC-227E-E15E-9BB1-32963A7CDE93}">
    <xltc:text>Source ID: A15
Illustrative only — obtain supplier quote.
Editable scenario input; see 06_Sources for the audit trail.</xltc:text>
  </xltc:threadedComment>
  <xltc:threadedComment ref="E25" dT="2026-08-10T01:34:50.104" personId="{7C8E2FC0-932F-4E5B-8FBE-8047150D37F8}" id="{BC434A19-B98D-320D-09B0-347C9D4655F6}">
    <xltc:text>Source ID: A15
Illustrative only — obtain supplier quote.
Editable scenario input; see 06_Sources for the audit trail.</xltc:text>
  </xltc:threadedComment>
  <xltc:threadedComment ref="F25" dT="2026-08-10T01:34:50.104" personId="{7C8E2FC0-932F-4E5B-8FBE-8047150D37F8}" id="{148264BB-4B39-CC6C-6409-C82C5FA09477}">
    <xltc:text>Source ID: A15
Illustrative only — obtain supplier quote.
Editable scenario input; see 06_Sources for the audit trail.</xltc:text>
  </xltc:threadedComment>
  <xltc:threadedComment ref="D26" dT="2026-08-10T01:34:50.104" personId="{7C8E2FC0-932F-4E5B-8FBE-8047150D37F8}" id="{910E2146-D206-5585-E0A7-30DA3AE1F27B}">
    <xltc:text>Source ID: A16
Illustrative only — obtain supplier quote.
Editable scenario input; see 06_Sources for the audit trail.</xltc:text>
  </xltc:threadedComment>
  <xltc:threadedComment ref="E26" dT="2026-08-10T01:34:50.104" personId="{7C8E2FC0-932F-4E5B-8FBE-8047150D37F8}" id="{D752916F-BC1E-13D7-5201-295FC73290A6}">
    <xltc:text>Source ID: A16
Illustrative only — obtain supplier quote.
Editable scenario input; see 06_Sources for the audit trail.</xltc:text>
  </xltc:threadedComment>
  <xltc:threadedComment ref="F26" dT="2026-08-10T01:34:50.104" personId="{7C8E2FC0-932F-4E5B-8FBE-8047150D37F8}" id="{40F3EA98-DBC8-F04F-93A1-55223ABC399B}">
    <xltc:text>Source ID: A16
Illustrative only — obtain supplier quote.
Editable scenario input; see 06_Sources for the audit trail.</xltc:text>
  </xltc:threadedComment>
  <xltc:threadedComment ref="D27" dT="2026-08-10T01:34:50.104" personId="{7C8E2FC0-932F-4E5B-8FBE-8047150D37F8}" id="{B5E1AFF0-B45F-E1CA-3382-574697292B50}">
    <xltc:text>Source ID: A17
Illustrative only — validate risk assessment and line-interface scope.
Editable scenario input; see 06_Sources for the audit trail.</xltc:text>
  </xltc:threadedComment>
  <xltc:threadedComment ref="E27" dT="2026-08-10T01:34:50.104" personId="{7C8E2FC0-932F-4E5B-8FBE-8047150D37F8}" id="{D91B765E-2C73-6324-DBD3-8C729561C3E8}">
    <xltc:text>Source ID: A17
Illustrative only — validate risk assessment and line-interface scope.
Editable scenario input; see 06_Sources for the audit trail.</xltc:text>
  </xltc:threadedComment>
  <xltc:threadedComment ref="F27" dT="2026-08-10T01:34:50.104" personId="{7C8E2FC0-932F-4E5B-8FBE-8047150D37F8}" id="{471CCD09-A012-75CD-DF61-961853182ECE}">
    <xltc:text>Source ID: A17
Illustrative only — validate risk assessment and line-interface scope.
Editable scenario input; see 06_Sources for the audit trail.</xltc:text>
  </xltc:threadedComment>
  <xltc:threadedComment ref="D28" dT="2026-08-10T01:34:50.104" personId="{7C8E2FC0-932F-4E5B-8FBE-8047150D37F8}" id="{B69FD292-4BD5-B6BF-F63A-368E0C032532}">
    <xltc:text>Source ID: A18
Illustrative only — obtain integrator quote.
Editable scenario input; see 06_Sources for the audit trail.</xltc:text>
  </xltc:threadedComment>
  <xltc:threadedComment ref="E28" dT="2026-08-10T01:34:50.104" personId="{7C8E2FC0-932F-4E5B-8FBE-8047150D37F8}" id="{E6B760C2-9027-0145-C75D-0DD66B34E2DB}">
    <xltc:text>Source ID: A18
Illustrative only — obtain integrator quote.
Editable scenario input; see 06_Sources for the audit trail.</xltc:text>
  </xltc:threadedComment>
  <xltc:threadedComment ref="F28" dT="2026-08-10T01:34:50.104" personId="{7C8E2FC0-932F-4E5B-8FBE-8047150D37F8}" id="{ABE796F5-01D7-BB93-54CB-99F6C74043C9}">
    <xltc:text>Source ID: A18
Illustrative only — obtain integrator quote.
Editable scenario input; see 06_Sources for the audit trail.</xltc:text>
  </xltc:threadedComment>
  <xltc:threadedComment ref="D29" dT="2026-08-10T01:34:50.104" personId="{7C8E2FC0-932F-4E5B-8FBE-8047150D37F8}" id="{A208FDDD-72EF-25AF-AE82-B5DAB0E1C4EA}">
    <xltc:text>Source ID: A19
Illustrative allowance for launch, training and ramp-up.
Editable scenario input; see 06_Sources for the audit trail.</xltc:text>
  </xltc:threadedComment>
  <xltc:threadedComment ref="E29" dT="2026-08-10T01:34:50.104" personId="{7C8E2FC0-932F-4E5B-8FBE-8047150D37F8}" id="{CFFBBBC5-E920-6728-4882-CE24CB0BD168}">
    <xltc:text>Source ID: A19
Illustrative allowance for launch, training and ramp-up.
Editable scenario input; see 06_Sources for the audit trail.</xltc:text>
  </xltc:threadedComment>
  <xltc:threadedComment ref="F29" dT="2026-08-10T01:34:50.104" personId="{7C8E2FC0-932F-4E5B-8FBE-8047150D37F8}" id="{3F1B83E7-0B49-A0F9-82C0-DAEA3DA689C7}">
    <xltc:text>Source ID: A19
Illustrative allowance for launch, training and ramp-up.
Editable scenario input; see 06_Sources for the audit trail.</xltc:text>
  </xltc:threadedComment>
  <xltc:threadedComment ref="D30" dT="2026-08-10T01:34:50.105" personId="{7C8E2FC0-932F-4E5B-8FBE-8047150D37F8}" id="{183B0A87-A428-C6B0-FC24-B6F2475BDC1E}">
    <xltc:text>Source ID: A20
Applied to the five installed-cost line items.
Editable scenario input; see 06_Sources for the audit trail.</xltc:text>
  </xltc:threadedComment>
  <xltc:threadedComment ref="E30" dT="2026-08-10T01:34:50.105" personId="{7C8E2FC0-932F-4E5B-8FBE-8047150D37F8}" id="{8F0F63B7-F13F-A9A6-D034-2C78C54F9C54}">
    <xltc:text>Source ID: A20
Applied to the five installed-cost line items.
Editable scenario input; see 06_Sources for the audit trail.</xltc:text>
  </xltc:threadedComment>
  <xltc:threadedComment ref="F30" dT="2026-08-10T01:34:50.105" personId="{7C8E2FC0-932F-4E5B-8FBE-8047150D37F8}" id="{A39D4973-24A6-F7A7-1689-FEE83898B3DA}">
    <xltc:text>Source ID: A20
Applied to the five installed-cost line items.
Editable scenario input; see 06_Sources for the audit trail.</xltc:text>
  </xltc:threadedComment>
  <xltc:threadedComment ref="D31" dT="2026-08-10T01:34:50.105" personId="{7C8E2FC0-932F-4E5B-8FBE-8047150D37F8}" id="{306F8B3B-04F8-425C-9A44-5A6485BD3949}">
    <xltc:text>Source ID: A21
Scenario range; replace with service contract and spare-parts plan.
Editable scenario input; see 06_Sources for the audit trail.</xltc:text>
  </xltc:threadedComment>
  <xltc:threadedComment ref="E31" dT="2026-08-10T01:34:50.105" personId="{7C8E2FC0-932F-4E5B-8FBE-8047150D37F8}" id="{F159AAF2-78B4-B4AE-9F34-B7E4B05C4D80}">
    <xltc:text>Source ID: A21
Scenario range; replace with service contract and spare-parts plan.
Editable scenario input; see 06_Sources for the audit trail.</xltc:text>
  </xltc:threadedComment>
  <xltc:threadedComment ref="F31" dT="2026-08-10T01:34:50.105" personId="{7C8E2FC0-932F-4E5B-8FBE-8047150D37F8}" id="{C4301D58-C6C4-8D18-A853-1E46445AAC6C}">
    <xltc:text>Source ID: A21
Scenario range; replace with service contract and spare-parts plan.
Editable scenario input; see 06_Sources for the audit trail.</xltc:text>
  </xltc:threadedComment>
  <xltc:threadedComment ref="D32" dT="2026-08-10T01:34:50.105" personId="{7C8E2FC0-932F-4E5B-8FBE-8047150D37F8}" id="{95B7837A-6476-B260-1394-735F1640B8B9}">
    <xltc:text>Source ID: A22
Illustrative recurring support cost.
Editable scenario input; see 06_Sources for the audit trail.</xltc:text>
  </xltc:threadedComment>
  <xltc:threadedComment ref="E32" dT="2026-08-10T01:34:50.105" personId="{7C8E2FC0-932F-4E5B-8FBE-8047150D37F8}" id="{BEE52EA9-F0E5-E050-BC4D-FAD9D20E87C8}">
    <xltc:text>Source ID: A22
Illustrative recurring support cost.
Editable scenario input; see 06_Sources for the audit trail.</xltc:text>
  </xltc:threadedComment>
  <xltc:threadedComment ref="F32" dT="2026-08-10T01:34:50.105" personId="{7C8E2FC0-932F-4E5B-8FBE-8047150D37F8}" id="{48CBEF28-1078-F4EE-F460-2B8F891D8128}">
    <xltc:text>Source ID: A22
Illustrative recurring support cost.
Editable scenario input; see 06_Sources for the audit trail.</xltc:text>
  </xltc:threadedComment>
  <xltc:threadedComment ref="D33" dT="2026-08-10T01:34:50.105" personId="{7C8E2FC0-932F-4E5B-8FBE-8047150D37F8}" id="{2D454088-683E-3358-4DF7-3B3B36270C33}">
    <xltc:text>Source ID: A23
All-in site electricity scenario; replace with contract and network cost.
Editable scenario input; see 06_Sources for the audit trail.</xltc:text>
  </xltc:threadedComment>
  <xltc:threadedComment ref="E33" dT="2026-08-10T01:34:50.105" personId="{7C8E2FC0-932F-4E5B-8FBE-8047150D37F8}" id="{9BE9B0AB-AE27-4DAF-8CF8-3197CCB9F40E}">
    <xltc:text>Source ID: A23
All-in site electricity scenario; replace with contract and network cost.
Editable scenario input; see 06_Sources for the audit trail.</xltc:text>
  </xltc:threadedComment>
  <xltc:threadedComment ref="F33" dT="2026-08-10T01:34:50.105" personId="{7C8E2FC0-932F-4E5B-8FBE-8047150D37F8}" id="{810EF88D-F5C3-FAE3-AB6F-F0C7A8663009}">
    <xltc:text>Source ID: A23
All-in site electricity scenario; replace with contract and network cost.
Editable scenario input; see 06_Sources for the audit trail.</xltc:text>
  </xltc:threadedComment>
  <xltc:threadedComment ref="D34" dT="2026-08-10T01:34:50.105" personId="{7C8E2FC0-932F-4E5B-8FBE-8047150D37F8}" id="{271B42B4-4D13-CDEF-1815-B2EDC08CED87}">
    <xltc:text>Source ID: A24
Applied to maintenance, service, electricity and other benefits.
Editable scenario input; see 06_Sources for the audit trail.</xltc:text>
  </xltc:threadedComment>
  <xltc:threadedComment ref="E34" dT="2026-08-10T01:34:50.105" personId="{7C8E2FC0-932F-4E5B-8FBE-8047150D37F8}" id="{187F42E4-EA10-BFFC-28A3-D5AB19C1DBFB}">
    <xltc:text>Source ID: A24
Applied to maintenance, service, electricity and other benefits.
Editable scenario input; see 06_Sources for the audit trail.</xltc:text>
  </xltc:threadedComment>
  <xltc:threadedComment ref="F34" dT="2026-08-10T01:34:50.105" personId="{7C8E2FC0-932F-4E5B-8FBE-8047150D37F8}" id="{39D97223-A79B-E4BC-B80D-937AE023FF78}">
    <xltc:text>Source ID: A24
Applied to maintenance, service, electricity and other benefits.
Editable scenario input; see 06_Sources for the audit trail.</xltc:text>
  </xltc:threadedComment>
  <xltc:threadedComment ref="D35" dT="2026-08-10T01:34:50.105" personId="{7C8E2FC0-932F-4E5B-8FBE-8047150D37F8}" id="{638ED0A8-67BB-F8C7-AB29-81D1CB6E68C6}">
    <xltc:text>Source ID: A25
After-tax salvage proceeds are included in Year 5.
Editable scenario input; see 06_Sources for the audit trail.</xltc:text>
  </xltc:threadedComment>
  <xltc:threadedComment ref="E35" dT="2026-08-10T01:34:50.105" personId="{7C8E2FC0-932F-4E5B-8FBE-8047150D37F8}" id="{202EDC5A-3D63-D4FD-957F-C8A592F1D85E}">
    <xltc:text>Source ID: A25
After-tax salvage proceeds are included in Year 5.
Editable scenario input; see 06_Sources for the audit trail.</xltc:text>
  </xltc:threadedComment>
  <xltc:threadedComment ref="F35" dT="2026-08-10T01:34:50.105" personId="{7C8E2FC0-932F-4E5B-8FBE-8047150D37F8}" id="{E9B539F0-8FAC-3296-D78D-B78F01273CF4}">
    <xltc:text>Source ID: A25
After-tax salvage proceeds are included in Year 5.
Editable scenario input; see 06_Sources for the audit trail.</xltc:text>
  </xltc:threadedComment>
  <xltc:threadedComment ref="D36" dT="2026-08-10T01:34:50.105" personId="{7C8E2FC0-932F-4E5B-8FBE-8047150D37F8}" id="{9A9004FB-F0BB-CFDB-05E4-A5F4AB093ECA}">
    <xltc:text>Source ID: A26
Set to zero to avoid unsubstantiated safety, quality or capacity benefits.
Editable scenario input; see 06_Sources for the audit trail.</xltc:text>
  </xltc:threadedComment>
  <xltc:threadedComment ref="E36" dT="2026-08-10T01:34:50.105" personId="{7C8E2FC0-932F-4E5B-8FBE-8047150D37F8}" id="{10D40259-85E9-1CF3-9E7E-E89770E354BC}">
    <xltc:text>Source ID: A26
Set to zero to avoid unsubstantiated safety, quality or capacity benefits.
Editable scenario input; see 06_Sources for the audit trail.</xltc:text>
  </xltc:threadedComment>
  <xltc:threadedComment ref="F36" dT="2026-08-10T01:34:50.105" personId="{7C8E2FC0-932F-4E5B-8FBE-8047150D37F8}" id="{2DF24E06-278D-EB39-E1AB-EAE92BAAF346}">
    <xltc:text>Source ID: A26
Set to zero to avoid unsubstantiated safety, quality or capacity benefits.
Editable scenario input; see 06_Sources for the audit trail.</xltc:text>
  </xltc:threadedComment>
</xltc:ThreadedComments>
</file>

<file path=xl/threadedcomments/threadedcomment2.xml><?xml version="1.0" encoding="utf-8"?>
<xltc:ThreadedComments xmlns:xltc="http://schemas.microsoft.com/office/spreadsheetml/2018/threadedcomments">
  <xltc:threadedComment ref="D13" dT="2026-08-10T01:34:50.165" personId="{7C8E2FC0-932F-4E5B-8FBE-8047150D37F8}" id="{F08977E4-2F8F-7F9C-5CF3-05AFCC6C4C79}">
    <xltc:text>Realized labor savings = gross addressable labor cost × realization rate × uptime. This avoids claiming every theoretical hour becomes cash savings.</xltc:text>
  </xltc:threadedComment>
  <xltc:threadedComment ref="D36" dT="2026-08-10T01:34:50.165" personId="{7C8E2FC0-932F-4E5B-8FBE-8047150D37F8}" id="{DB69ABEF-1818-20A5-2106-045047D25716}">
    <xltc:text>After-tax free cash flow = incremental EBITDA − cash tax + after-tax salvage proceeds. Year 0 is the installed capex outflow.</xltc:text>
  </xltc:threadedComment>
  <xltc:threadedComment ref="K9" dT="2026-08-10T01:34:50.165" personId="{7C8E2FC0-932F-4E5B-8FBE-8047150D37F8}" id="{F8457444-8FE3-C7FB-CF3A-8C35F6856C85}">
    <xltc:text>NPV is the sum of each cash flow multiplied by its discount factor. Positive NPV means the project creates value at the selected hurdle rate.</xltc:text>
  </xltc:threadedComment>
  <xltc:threadedComment ref="K10" dT="2026-08-10T01:34:50.165" personId="{7C8E2FC0-932F-4E5B-8FBE-8047150D37F8}" id="{9F0D167B-8CBA-0E2E-F4D0-FB5C3B317945}">
    <xltc:text>IRR is the discount rate that makes NPV equal to zero. The formula is guarded and returns n.m. if Excel cannot calculate a meaningful rate.</xltc:text>
  </xltc:threadedComment>
  <xltc:threadedComment ref="K11" dT="2026-08-10T01:34:50.165" personId="{7C8E2FC0-932F-4E5B-8FBE-8047150D37F8}" id="{ABA799D0-A822-1CAC-E2B4-01B590E628B7}">
    <xltc:text>Payback uses undiscounted cumulative cash flow and interpolates within the year in which cumulative cash flow becomes positive.</xltc:text>
  </xltc:threadedComment>
  <xltc:threadedComment ref="K18" dT="2026-08-10T01:34:50.165" personId="{7C8E2FC0-932F-4E5B-8FBE-8047150D37F8}" id="{548A7F58-67DD-F363-E0FC-9F8C34E24ED5}">
    <xltc:text>Decision rule: retain manual if NPV is non-positive; invest if NPV is positive and return, payback, payload and throughput criteria pass; otherwise run a pilot.</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8766f785ea584df4" /><Relationship Type="http://schemas.openxmlformats.org/officeDocument/2006/relationships/vmlDrawing" Target="/xl/drawings/vmldrawing.vml" Id="Ree72057766df49a5" /><Relationship Type="http://schemas.microsoft.com/office/2017/10/relationships/threadedComment" Target="/xl/threadedcomments/threadedcomment.xml" Id="R7ed1c8959737431f" /></Relationships>
</file>

<file path=xl/worksheets/_rels/sheet3.xml.rels>&#65279;<?xml version="1.0" encoding="utf-8"?><Relationships xmlns="http://schemas.openxmlformats.org/package/2006/relationships"><Relationship Type="http://schemas.openxmlformats.org/officeDocument/2006/relationships/comments" Target="/xl/comments2.xml" Id="R8bb9a10ee4c44163" /><Relationship Type="http://schemas.openxmlformats.org/officeDocument/2006/relationships/vmlDrawing" Target="/xl/drawings/vmldrawing2.vml" Id="Ra1e0f199692a40ce" /><Relationship Type="http://schemas.microsoft.com/office/2017/10/relationships/threadedComment" Target="/xl/threadedcomments/threadedcomment2.xml" Id="R1dec213da6ea4d0a" /></Relationships>
</file>

<file path=xl/worksheets/_rels/sheet6.xml.rels>&#65279;<?xml version="1.0" encoding="utf-8"?><Relationships xmlns="http://schemas.openxmlformats.org/package/2006/relationships"><Relationship Type="http://schemas.openxmlformats.org/officeDocument/2006/relationships/drawing" Target="/xl/drawings/drawing1.xml" Id="R93b121b6cd65411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44" hidden="0" customWidth="1"/>
    <x:col min="4" max="4" width="22" hidden="0" customWidth="1"/>
    <x:col min="5" max="5" width="22" hidden="0" customWidth="1"/>
    <x:col min="6" max="6" width="24" hidden="0" customWidth="1"/>
    <x:col min="7" max="7" width="24" hidden="0" customWidth="1"/>
    <x:col min="8" max="8" width="24" hidden="0" customWidth="1"/>
  </x:cols>
  <x:sheetData>
    <x:row r="1" ht="32" customHeight="1">
      <x:c r="A1" s="4" t="str">
        <x:v>Cobot Adoption ROI Model</x:v>
      </x:c>
      <x:c r="B1" s="4" t="str">
        <x:v>Cobot Adoption ROI Model</x:v>
      </x:c>
      <x:c r="C1" s="4" t="str">
        <x:v>Cobot Adoption ROI Model</x:v>
      </x:c>
      <x:c r="D1" s="4" t="str">
        <x:v>Cobot Adoption ROI Model</x:v>
      </x:c>
      <x:c r="E1" s="4" t="str">
        <x:v>Cobot Adoption ROI Model</x:v>
      </x:c>
      <x:c r="F1" s="4" t="str">
        <x:v>Cobot Adoption ROI Model</x:v>
      </x:c>
      <x:c r="G1" s="4" t="str">
        <x:v>Cobot Adoption ROI Model</x:v>
      </x:c>
      <x:c r="H1" s="4" t="str">
        <x:v>Cobot Adoption ROI Model</x:v>
      </x:c>
    </x:row>
    <x:row r="2" ht="28" customHeight="1">
      <x:c r="A2" s="9" t="str">
        <x:v>Decision model for automated palletizing at a hypothetical Swedish manufacturing SME | Version 0.2</x:v>
      </x:c>
      <x:c r="B2" s="9" t="str">
        <x:v>Decision model for automated palletizing at a hypothetical Swedish manufacturing SME | Version 0.2</x:v>
      </x:c>
      <x:c r="C2" s="9" t="str">
        <x:v>Decision model for automated palletizing at a hypothetical Swedish manufacturing SME | Version 0.2</x:v>
      </x:c>
      <x:c r="D2" s="9" t="str">
        <x:v>Decision model for automated palletizing at a hypothetical Swedish manufacturing SME | Version 0.2</x:v>
      </x:c>
      <x:c r="E2" s="9" t="str">
        <x:v>Decision model for automated palletizing at a hypothetical Swedish manufacturing SME | Version 0.2</x:v>
      </x:c>
      <x:c r="F2" s="9" t="str">
        <x:v>Decision model for automated palletizing at a hypothetical Swedish manufacturing SME | Version 0.2</x:v>
      </x:c>
      <x:c r="G2" s="9" t="str">
        <x:v>Decision model for automated palletizing at a hypothetical Swedish manufacturing SME | Version 0.2</x:v>
      </x:c>
      <x:c r="H2" s="9" t="str">
        <x:v>Decision model for automated palletizing at a hypothetical Swedish manufacturing SME | Version 0.2</x:v>
      </x:c>
    </x:row>
    <x:row r="3" ht="16.5" customHeight="1">
      <x:c r="A3" s="287"/>
      <x:c r="B3" s="287"/>
      <x:c r="C3" s="287"/>
      <x:c r="D3" s="287"/>
      <x:c r="E3" s="287"/>
      <x:c r="F3" s="287"/>
      <x:c r="G3" s="287"/>
      <x:c r="H3" s="287"/>
    </x:row>
    <x:row r="4" ht="22" customHeight="1">
      <x:c r="A4" s="13" t="str">
        <x:v>MODEL METADATA</x:v>
      </x:c>
      <x:c r="B4" s="13" t="str">
        <x:v>MODEL METADATA</x:v>
      </x:c>
      <x:c r="C4" s="13" t="str">
        <x:v>MODEL METADATA</x:v>
      </x:c>
      <x:c r="D4" s="13" t="str">
        <x:v>MODEL METADATA</x:v>
      </x:c>
      <x:c r="E4" s="13" t="str">
        <x:v>LIVE DECISION SUMMARY</x:v>
      </x:c>
      <x:c r="F4" s="13" t="str">
        <x:v>LIVE DECISION SUMMARY</x:v>
      </x:c>
      <x:c r="G4" s="13" t="str">
        <x:v>LIVE DECISION SUMMARY</x:v>
      </x:c>
      <x:c r="H4" s="13" t="str">
        <x:v>LIVE DECISION SUMMARY</x:v>
      </x:c>
    </x:row>
    <x:row r="5">
      <x:c r="A5" s="288" t="str">
        <x:v>Version</x:v>
      </x:c>
      <x:c r="B5" s="289" t="str">
        <x:v>0.2</x:v>
      </x:c>
      <x:c r="C5" s="287"/>
      <x:c r="D5" s="287"/>
      <x:c r="E5" s="288" t="str">
        <x:v>Selected scenario</x:v>
      </x:c>
      <x:c r="F5" s="290" t="str">
        <x:f>'01_Assumptions'!$B$3</x:f>
        <x:v>Base Case</x:v>
      </x:c>
      <x:c r="G5" s="287"/>
      <x:c r="H5" s="287"/>
    </x:row>
    <x:row r="6">
      <x:c r="A6" s="291" t="str">
        <x:v>Author</x:v>
      </x:c>
      <x:c r="B6" s="292" t="str">
        <x:v>Robin Ling</x:v>
      </x:c>
      <x:c r="C6" s="287"/>
      <x:c r="D6" s="287"/>
      <x:c r="E6" s="291" t="str">
        <x:v>Recommendation</x:v>
      </x:c>
      <x:c r="F6" s="293" t="str">
        <x:f>'02_Cash_Flow'!$K$18</x:f>
        <x:v>INVEST NOW</x:v>
      </x:c>
      <x:c r="G6" s="287"/>
      <x:c r="H6" s="287"/>
    </x:row>
    <x:row r="7">
      <x:c r="A7" s="291" t="str">
        <x:v>As of</x:v>
      </x:c>
      <x:c r="B7" s="294" t="n">
        <x:v>46244</x:v>
      </x:c>
      <x:c r="C7" s="287"/>
      <x:c r="D7" s="287"/>
      <x:c r="E7" s="291" t="str">
        <x:v>NPV</x:v>
      </x:c>
      <x:c r="F7" s="295" t="n">
        <x:f>'02_Cash_Flow'!$K$9</x:f>
        <x:v>1453054.562087467</x:v>
      </x:c>
      <x:c r="G7" s="287"/>
      <x:c r="H7" s="287"/>
    </x:row>
    <x:row r="8">
      <x:c r="A8" s="291" t="str">
        <x:v>Currency</x:v>
      </x:c>
      <x:c r="B8" s="292" t="str">
        <x:v>SEK</x:v>
      </x:c>
      <x:c r="C8" s="287"/>
      <x:c r="D8" s="287"/>
      <x:c r="E8" s="291" t="str">
        <x:v>IRR</x:v>
      </x:c>
      <x:c r="F8" s="296" t="n">
        <x:f>'02_Cash_Flow'!$K$10</x:f>
        <x:v>0.3522395558208255</x:v>
      </x:c>
      <x:c r="G8" s="287"/>
      <x:c r="H8" s="287"/>
    </x:row>
    <x:row r="9">
      <x:c r="A9" s="297" t="str">
        <x:v>Evidence standard</x:v>
      </x:c>
      <x:c r="B9" s="298" t="str">
        <x:v>Public sources + transparent scenario assumptions</x:v>
      </x:c>
      <x:c r="C9" s="287"/>
      <x:c r="D9" s="287"/>
      <x:c r="E9" s="297" t="str">
        <x:v>Model status</x:v>
      </x:c>
      <x:c r="F9" s="299" t="str">
        <x:f>'07_QA'!$B$3</x:f>
        <x:v>PASS</x:v>
      </x:c>
      <x:c r="G9" s="287"/>
      <x:c r="H9" s="287"/>
    </x:row>
    <x:row r="10">
      <x:c r="A10" s="287"/>
      <x:c r="B10" s="287"/>
      <x:c r="C10" s="287"/>
      <x:c r="D10" s="287"/>
      <x:c r="E10" s="287"/>
      <x:c r="F10" s="287"/>
      <x:c r="G10" s="287"/>
      <x:c r="H10" s="287"/>
    </x:row>
    <x:row r="11" ht="22" customHeight="1">
      <x:c r="A11" s="13" t="str">
        <x:v>PROJECT DEFINITION</x:v>
      </x:c>
      <x:c r="B11" s="13" t="str">
        <x:v>PROJECT DEFINITION</x:v>
      </x:c>
      <x:c r="C11" s="13" t="str">
        <x:v>PROJECT DEFINITION</x:v>
      </x:c>
      <x:c r="D11" s="13" t="str">
        <x:v>PROJECT DEFINITION</x:v>
      </x:c>
      <x:c r="E11" s="13" t="str">
        <x:v>PROJECT DEFINITION</x:v>
      </x:c>
      <x:c r="F11" s="13" t="str">
        <x:v>PROJECT DEFINITION</x:v>
      </x:c>
      <x:c r="G11" s="13" t="str">
        <x:v>PROJECT DEFINITION</x:v>
      </x:c>
      <x:c r="H11" s="13" t="str">
        <x:v>PROJECT DEFINITION</x:v>
      </x:c>
    </x:row>
    <x:row r="12" ht="28" customHeight="1">
      <x:c r="A12" s="300" t="str">
        <x:v>Research question</x:v>
      </x:c>
      <x:c r="B12" s="301" t="str">
        <x:v>Under which operating conditions does an automated palletizing cell create value for a Swedish manufacturing SME?</x:v>
      </x:c>
      <x:c r="C12" s="301"/>
      <x:c r="D12" s="301"/>
      <x:c r="E12" s="301"/>
      <x:c r="F12" s="301"/>
      <x:c r="G12" s="301"/>
      <x:c r="H12" s="301"/>
    </x:row>
    <x:row r="13" ht="28" customHeight="1">
      <x:c r="A13" s="302" t="str">
        <x:v>Decision</x:v>
      </x:c>
      <x:c r="B13" s="303" t="str">
        <x:v>Invest now, run a pilot, or retain manual palletizing.</x:v>
      </x:c>
      <x:c r="C13" s="303"/>
      <x:c r="D13" s="303"/>
      <x:c r="E13" s="303"/>
      <x:c r="F13" s="303"/>
      <x:c r="G13" s="303"/>
      <x:c r="H13" s="303"/>
    </x:row>
    <x:row r="14" ht="28" customHeight="1">
      <x:c r="A14" s="302" t="str">
        <x:v>Decision maker</x:v>
      </x:c>
      <x:c r="B14" s="303" t="str">
        <x:v>COO / CFO</x:v>
      </x:c>
      <x:c r="C14" s="303"/>
      <x:c r="D14" s="303"/>
      <x:c r="E14" s="303"/>
      <x:c r="F14" s="303"/>
      <x:c r="G14" s="303"/>
      <x:c r="H14" s="303"/>
    </x:row>
    <x:row r="15" ht="28" customHeight="1">
      <x:c r="A15" s="302" t="str">
        <x:v>Use case</x:v>
      </x:c>
      <x:c r="B15" s="303" t="str">
        <x:v>End-of-line palletizing of 12 kg cartons with a UR20-based cobot cell.</x:v>
      </x:c>
      <x:c r="C15" s="303"/>
      <x:c r="D15" s="303"/>
      <x:c r="E15" s="303"/>
      <x:c r="F15" s="303"/>
      <x:c r="G15" s="303"/>
      <x:c r="H15" s="303"/>
    </x:row>
    <x:row r="16" ht="28" customHeight="1">
      <x:c r="A16" s="302" t="str">
        <x:v>Time horizon</x:v>
      </x:c>
      <x:c r="B16" s="303" t="str">
        <x:v>Five years, annual periods</x:v>
      </x:c>
      <x:c r="C16" s="303"/>
      <x:c r="D16" s="303"/>
      <x:c r="E16" s="303"/>
      <x:c r="F16" s="303"/>
      <x:c r="G16" s="303"/>
      <x:c r="H16" s="303"/>
    </x:row>
    <x:row r="17" ht="28" customHeight="1">
      <x:c r="A17" s="302" t="str">
        <x:v>Primary outputs</x:v>
      </x:c>
      <x:c r="B17" s="303" t="str">
        <x:v>NPV, IRR, payback, five-year ROI, technical feasibility and break-even conditions.</x:v>
      </x:c>
      <x:c r="C17" s="303"/>
      <x:c r="D17" s="303"/>
      <x:c r="E17" s="303"/>
      <x:c r="F17" s="303"/>
      <x:c r="G17" s="303"/>
      <x:c r="H17" s="303"/>
    </x:row>
    <x:row r="18" ht="28" customHeight="1">
      <x:c r="A18" s="304" t="str">
        <x:v>Claim boundary</x:v>
      </x:c>
      <x:c r="B18" s="305" t="str">
        <x:v>This is an illustrative decision model, not a vendor quote or proof of realized savings.</x:v>
      </x:c>
      <x:c r="C18" s="305"/>
      <x:c r="D18" s="305"/>
      <x:c r="E18" s="305"/>
      <x:c r="F18" s="305"/>
      <x:c r="G18" s="305"/>
      <x:c r="H18" s="305"/>
    </x:row>
    <x:row r="19">
      <x:c r="A19" s="287"/>
      <x:c r="B19" s="287"/>
      <x:c r="C19" s="287"/>
      <x:c r="D19" s="287"/>
      <x:c r="E19" s="287"/>
      <x:c r="F19" s="287"/>
      <x:c r="G19" s="287"/>
      <x:c r="H19" s="287"/>
    </x:row>
    <x:row r="20" ht="22" customHeight="1">
      <x:c r="A20" s="13" t="str">
        <x:v>HOW TO USE THE MODEL</x:v>
      </x:c>
      <x:c r="B20" s="13" t="str">
        <x:v>HOW TO USE THE MODEL</x:v>
      </x:c>
      <x:c r="C20" s="13" t="str">
        <x:v>HOW TO USE THE MODEL</x:v>
      </x:c>
      <x:c r="D20" s="13" t="str">
        <x:v>HOW TO USE THE MODEL</x:v>
      </x:c>
      <x:c r="E20" s="13" t="str">
        <x:v>HOW TO USE THE MODEL</x:v>
      </x:c>
      <x:c r="F20" s="13" t="str">
        <x:v>HOW TO USE THE MODEL</x:v>
      </x:c>
      <x:c r="G20" s="13" t="str">
        <x:v>HOW TO USE THE MODEL</x:v>
      </x:c>
      <x:c r="H20" s="13" t="str">
        <x:v>HOW TO USE THE MODEL</x:v>
      </x:c>
    </x:row>
    <x:row r="21" ht="26" customHeight="1">
      <x:c r="A21" s="306" t="str">
        <x:v>1</x:v>
      </x:c>
      <x:c r="B21" s="307" t="str">
        <x:v>Choose Downside, Base Case or Upside in 01_Assumptions!B3.</x:v>
      </x:c>
      <x:c r="C21" s="307"/>
      <x:c r="D21" s="307"/>
      <x:c r="E21" s="307"/>
      <x:c r="F21" s="307"/>
      <x:c r="G21" s="307"/>
      <x:c r="H21" s="307"/>
    </x:row>
    <x:row r="22" ht="26" customHeight="1">
      <x:c r="A22" s="306" t="str">
        <x:v>2</x:v>
      </x:c>
      <x:c r="B22" s="307" t="str">
        <x:v>Edit blue input cells only. Yellow inputs require a vendor quote or site study before a real decision.</x:v>
      </x:c>
      <x:c r="C22" s="307"/>
      <x:c r="D22" s="307"/>
      <x:c r="E22" s="307"/>
      <x:c r="F22" s="307"/>
      <x:c r="G22" s="307"/>
      <x:c r="H22" s="307"/>
    </x:row>
    <x:row r="23" ht="26" customHeight="1">
      <x:c r="A23" s="306" t="str">
        <x:v>3</x:v>
      </x:c>
      <x:c r="B23" s="307" t="str">
        <x:v>Review the recommendation and decision criteria on 05_Dashboard.</x:v>
      </x:c>
      <x:c r="C23" s="307"/>
      <x:c r="D23" s="307"/>
      <x:c r="E23" s="307"/>
      <x:c r="F23" s="307"/>
      <x:c r="G23" s="307"/>
      <x:c r="H23" s="307"/>
    </x:row>
    <x:row r="24" ht="26" customHeight="1">
      <x:c r="A24" s="306" t="str">
        <x:v>4</x:v>
      </x:c>
      <x:c r="B24" s="307" t="str">
        <x:v>Use 04_Sensitivity to see how shifts per day and loaded labor cost change NPV.</x:v>
      </x:c>
      <x:c r="C24" s="307"/>
      <x:c r="D24" s="307"/>
      <x:c r="E24" s="307"/>
      <x:c r="F24" s="307"/>
      <x:c r="G24" s="307"/>
      <x:c r="H24" s="307"/>
    </x:row>
    <x:row r="25">
      <x:c r="A25" s="287"/>
      <x:c r="B25" s="287"/>
      <x:c r="C25" s="287"/>
      <x:c r="D25" s="287"/>
      <x:c r="E25" s="287"/>
      <x:c r="F25" s="287"/>
      <x:c r="G25" s="287"/>
      <x:c r="H25" s="287"/>
    </x:row>
    <x:row r="26" ht="22" customHeight="1">
      <x:c r="A26" s="13" t="str">
        <x:v>LEARNING MAP — FORMULAS TO BE ABLE TO EXPLAIN</x:v>
      </x:c>
      <x:c r="B26" s="13" t="str">
        <x:v>LEARNING MAP — FORMULAS TO BE ABLE TO EXPLAIN</x:v>
      </x:c>
      <x:c r="C26" s="13" t="str">
        <x:v>LEARNING MAP — FORMULAS TO BE ABLE TO EXPLAIN</x:v>
      </x:c>
      <x:c r="D26" s="13" t="str">
        <x:v>LEARNING MAP — FORMULAS TO BE ABLE TO EXPLAIN</x:v>
      </x:c>
      <x:c r="E26" s="13" t="str">
        <x:v>LEARNING MAP — FORMULAS TO BE ABLE TO EXPLAIN</x:v>
      </x:c>
      <x:c r="F26" s="13" t="str">
        <x:v>LEARNING MAP — FORMULAS TO BE ABLE TO EXPLAIN</x:v>
      </x:c>
      <x:c r="G26" s="13" t="str">
        <x:v>LEARNING MAP — FORMULAS TO BE ABLE TO EXPLAIN</x:v>
      </x:c>
      <x:c r="H26" s="13" t="str">
        <x:v>LEARNING MAP — FORMULAS TO BE ABLE TO EXPLAIN</x:v>
      </x:c>
    </x:row>
    <x:row r="27" ht="28" customHeight="1">
      <x:c r="A27" s="46" t="str">
        <x:v>Cell</x:v>
      </x:c>
      <x:c r="B27" s="46" t="str">
        <x:v>Concept</x:v>
      </x:c>
      <x:c r="C27" s="46" t="str">
        <x:v>What it teaches</x:v>
      </x:c>
      <x:c r="D27" s="287"/>
      <x:c r="E27" s="287"/>
      <x:c r="F27" s="287"/>
      <x:c r="G27" s="287"/>
      <x:c r="H27" s="287"/>
    </x:row>
    <x:row r="28" ht="44" customHeight="1">
      <x:c r="A28" s="51" t="str">
        <x:v>02_Cash_Flow!D13</x:v>
      </x:c>
      <x:c r="B28" s="51" t="str">
        <x:v>Realized labor savings</x:v>
      </x:c>
      <x:c r="C28" s="54" t="str">
        <x:v>Turns addressable hours into a conservative cash benefit using realization and uptime.</x:v>
      </x:c>
      <x:c r="D28" s="287"/>
      <x:c r="E28" s="287"/>
      <x:c r="F28" s="287"/>
      <x:c r="G28" s="287"/>
      <x:c r="H28" s="287"/>
    </x:row>
    <x:row r="29" ht="44" customHeight="1">
      <x:c r="A29" s="52" t="str">
        <x:v>02_Cash_Flow!D36</x:v>
      </x:c>
      <x:c r="B29" s="52" t="str">
        <x:v>After-tax free cash flow</x:v>
      </x:c>
      <x:c r="C29" s="55" t="str">
        <x:v>Separates operating benefit, cash operating costs, tax and salvage value.</x:v>
      </x:c>
      <x:c r="D29" s="287"/>
      <x:c r="E29" s="287"/>
      <x:c r="F29" s="287"/>
      <x:c r="G29" s="287"/>
      <x:c r="H29" s="287"/>
    </x:row>
    <x:row r="30" ht="44" customHeight="1">
      <x:c r="A30" s="52" t="str">
        <x:v>02_Cash_Flow!K9</x:v>
      </x:c>
      <x:c r="B30" s="52" t="str">
        <x:v>NPV</x:v>
      </x:c>
      <x:c r="C30" s="55" t="str">
        <x:v>Discounts future cash flows and subtracts the initial investment.</x:v>
      </x:c>
      <x:c r="D30" s="287"/>
      <x:c r="E30" s="287"/>
      <x:c r="F30" s="287"/>
      <x:c r="G30" s="287"/>
      <x:c r="H30" s="287"/>
    </x:row>
    <x:row r="31" ht="44" customHeight="1">
      <x:c r="A31" s="52" t="str">
        <x:v>02_Cash_Flow!K11</x:v>
      </x:c>
      <x:c r="B31" s="52" t="str">
        <x:v>Payback</x:v>
      </x:c>
      <x:c r="C31" s="55" t="str">
        <x:v>Shows when undiscounted cumulative cash flow turns positive.</x:v>
      </x:c>
      <x:c r="D31" s="287"/>
      <x:c r="E31" s="287"/>
      <x:c r="F31" s="287"/>
      <x:c r="G31" s="287"/>
      <x:c r="H31" s="287"/>
    </x:row>
    <x:row r="32" ht="44" customHeight="1">
      <x:c r="A32" s="53" t="str">
        <x:v>02_Cash_Flow!K18</x:v>
      </x:c>
      <x:c r="B32" s="53" t="str">
        <x:v>Decision rule</x:v>
      </x:c>
      <x:c r="C32" s="56" t="str">
        <x:v>Combines economics and technical feasibility into an action.</x:v>
      </x:c>
      <x:c r="D32" s="287"/>
      <x:c r="E32" s="287"/>
      <x:c r="F32" s="287"/>
      <x:c r="G32" s="287"/>
      <x:c r="H32" s="287"/>
    </x:row>
    <x:row r="33">
      <x:c r="A33" s="287"/>
      <x:c r="B33" s="287"/>
      <x:c r="C33" s="287"/>
      <x:c r="D33" s="287"/>
      <x:c r="E33" s="287"/>
      <x:c r="F33" s="287"/>
      <x:c r="G33" s="287"/>
      <x:c r="H33" s="287"/>
    </x:row>
    <x:row r="34" ht="22" customHeight="1">
      <x:c r="A34" s="13" t="str">
        <x:v>KEY LIMITATIONS</x:v>
      </x:c>
      <x:c r="B34" s="13" t="str">
        <x:v>KEY LIMITATIONS</x:v>
      </x:c>
      <x:c r="C34" s="13" t="str">
        <x:v>KEY LIMITATIONS</x:v>
      </x:c>
      <x:c r="D34" s="13" t="str">
        <x:v>KEY LIMITATIONS</x:v>
      </x:c>
      <x:c r="E34" s="13" t="str">
        <x:v>KEY LIMITATIONS</x:v>
      </x:c>
      <x:c r="F34" s="13" t="str">
        <x:v>KEY LIMITATIONS</x:v>
      </x:c>
      <x:c r="G34" s="13" t="str">
        <x:v>KEY LIMITATIONS</x:v>
      </x:c>
      <x:c r="H34" s="13" t="str">
        <x:v>KEY LIMITATIONS</x:v>
      </x:c>
    </x:row>
    <x:row r="35" ht="58" customHeight="1">
      <x:c r="A35" s="60" t="str">
        <x:v>Capex, cycle time, uptime and labor-release assumptions must be replaced with a supplier quote and site time study before a real investment. The model uses a simplified cash-tax calculation, gives no tax benefit for negative incremental EBIT, excludes financing effects and does not monetize safety, quality or incremental capacity in the base case.</x:v>
      </x:c>
      <x:c r="B35" s="60" t="str">
        <x:v>Capex, cycle time, uptime and labor-release assumptions must be replaced with a supplier quote and site time study before a real investment. The model uses a simplified cash-tax calculation, gives no tax benefit for negative incremental EBIT, excludes financing effects and does not monetize safety, quality or incremental capacity in the base case.</x:v>
      </x:c>
      <x:c r="C35" s="60" t="str">
        <x:v>Capex, cycle time, uptime and labor-release assumptions must be replaced with a supplier quote and site time study before a real investment. The model uses a simplified cash-tax calculation, gives no tax benefit for negative incremental EBIT, excludes financing effects and does not monetize safety, quality or incremental capacity in the base case.</x:v>
      </x:c>
      <x:c r="D35" s="60" t="str">
        <x:v>Capex, cycle time, uptime and labor-release assumptions must be replaced with a supplier quote and site time study before a real investment. The model uses a simplified cash-tax calculation, gives no tax benefit for negative incremental EBIT, excludes financing effects and does not monetize safety, quality or incremental capacity in the base case.</x:v>
      </x:c>
      <x:c r="E35" s="60" t="str">
        <x:v>Capex, cycle time, uptime and labor-release assumptions must be replaced with a supplier quote and site time study before a real investment. The model uses a simplified cash-tax calculation, gives no tax benefit for negative incremental EBIT, excludes financing effects and does not monetize safety, quality or incremental capacity in the base case.</x:v>
      </x:c>
      <x:c r="F35" s="60" t="str">
        <x:v>Capex, cycle time, uptime and labor-release assumptions must be replaced with a supplier quote and site time study before a real investment. The model uses a simplified cash-tax calculation, gives no tax benefit for negative incremental EBIT, excludes financing effects and does not monetize safety, quality or incremental capacity in the base case.</x:v>
      </x:c>
      <x:c r="G35" s="60" t="str">
        <x:v>Capex, cycle time, uptime and labor-release assumptions must be replaced with a supplier quote and site time study before a real investment. The model uses a simplified cash-tax calculation, gives no tax benefit for negative incremental EBIT, excludes financing effects and does not monetize safety, quality or incremental capacity in the base case.</x:v>
      </x:c>
      <x:c r="H35" s="60" t="str">
        <x:v>Capex, cycle time, uptime and labor-release assumptions must be replaced with a supplier quote and site time study before a real investment. The model uses a simplified cash-tax calculation, gives no tax benefit for negative incremental EBIT, excludes financing effects and does not monetize safety, quality or incremental capacity in the base case.</x:v>
      </x:c>
    </x:row>
    <x:row r="36">
      <x:c r="A36" s="287"/>
      <x:c r="B36" s="287"/>
      <x:c r="C36" s="287"/>
      <x:c r="D36" s="287"/>
      <x:c r="E36" s="287"/>
      <x:c r="F36" s="287"/>
      <x:c r="G36" s="287"/>
      <x:c r="H36" s="287"/>
    </x:row>
    <x:row r="37">
      <x:c r="A37" s="287"/>
      <x:c r="B37" s="287"/>
      <x:c r="C37" s="287"/>
      <x:c r="D37" s="287"/>
      <x:c r="E37" s="287"/>
      <x:c r="F37" s="287"/>
      <x:c r="G37" s="287"/>
      <x:c r="H37" s="287"/>
    </x:row>
    <x:row r="38">
      <x:c r="A38" s="287"/>
      <x:c r="B38" s="287"/>
      <x:c r="C38" s="287"/>
      <x:c r="D38" s="287"/>
      <x:c r="E38" s="287"/>
      <x:c r="F38" s="287"/>
      <x:c r="G38" s="287"/>
      <x:c r="H38" s="287"/>
    </x:row>
    <x:row r="39">
      <x:c r="A39" s="308" t="str">
        <x:v>Blue font = editable input</x:v>
      </x:c>
      <x:c r="B39" s="309" t="str">
        <x:v>Yellow fill = validation required</x:v>
      </x:c>
      <x:c r="C39" s="310" t="str">
        <x:v>Green font = link to another sheet</x:v>
      </x:c>
      <x:c r="D39" s="311" t="str">
        <x:v>Black font = formula / calculation</x:v>
      </x:c>
      <x:c r="E39" s="287"/>
      <x:c r="F39" s="287"/>
      <x:c r="G39" s="287"/>
      <x:c r="H39" s="287"/>
    </x:row>
  </x:sheetData>
  <x:mergeCells>
    <x:mergeCell ref="A1:H1"/>
    <x:mergeCell ref="A2:H2"/>
    <x:mergeCell ref="A4:D4"/>
    <x:mergeCell ref="E4:H4"/>
    <x:mergeCell ref="A11:H11"/>
    <x:mergeCell ref="B12:H12"/>
    <x:mergeCell ref="B13:H13"/>
    <x:mergeCell ref="B14:H14"/>
    <x:mergeCell ref="B15:H15"/>
    <x:mergeCell ref="B16:H16"/>
    <x:mergeCell ref="B17:H17"/>
    <x:mergeCell ref="B18:H18"/>
    <x:mergeCell ref="A20:H20"/>
    <x:mergeCell ref="B21:H21"/>
    <x:mergeCell ref="B22:H22"/>
    <x:mergeCell ref="B23:H23"/>
    <x:mergeCell ref="B24:H24"/>
    <x:mergeCell ref="A26:H26"/>
    <x:mergeCell ref="A34:H34"/>
    <x:mergeCell ref="A35:H3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5" max="5" width="15" hidden="0" customWidth="1"/>
    <x:col min="7" max="7" width="22" hidden="0" customWidth="1"/>
    <x:col min="8" max="8" width="14" hidden="0" customWidth="1"/>
    <x:col min="1" max="1" width="22" hidden="0" customWidth="1"/>
    <x:col min="2" max="2" width="31" hidden="0" customWidth="1"/>
    <x:col min="3" max="3" width="16" hidden="0" customWidth="1"/>
    <x:col min="4" max="4" width="15" hidden="0" customWidth="1"/>
    <x:col min="6" max="6" width="15" hidden="0" customWidth="1"/>
    <x:col min="9" max="9" width="58" hidden="0" customWidth="1"/>
    <x:col min="10" max="10" width="17" hidden="0" customWidth="1"/>
  </x:cols>
  <x:sheetData>
    <x:row r="1" ht="32" customHeight="1">
      <x:c r="A1" s="4" t="str">
        <x:v>01 | Assumptions and Scenario Inputs</x:v>
      </x:c>
      <x:c r="B1" s="4" t="str">
        <x:v>01 | Assumptions and Scenario Inputs</x:v>
      </x:c>
      <x:c r="C1" s="4" t="str">
        <x:v>01 | Assumptions and Scenario Inputs</x:v>
      </x:c>
      <x:c r="D1" s="4" t="str">
        <x:v>01 | Assumptions and Scenario Inputs</x:v>
      </x:c>
      <x:c r="E1" s="4" t="str">
        <x:v>01 | Assumptions and Scenario Inputs</x:v>
      </x:c>
      <x:c r="F1" s="4" t="str">
        <x:v>01 | Assumptions and Scenario Inputs</x:v>
      </x:c>
      <x:c r="G1" s="4" t="str">
        <x:v>01 | Assumptions and Scenario Inputs</x:v>
      </x:c>
      <x:c r="H1" s="4" t="str">
        <x:v>01 | Assumptions and Scenario Inputs</x:v>
      </x:c>
      <x:c r="I1" s="4" t="str">
        <x:v>01 | Assumptions and Scenario Inputs</x:v>
      </x:c>
      <x:c r="J1" s="4" t="str">
        <x:v>01 | Assumptions and Scenario Inputs</x:v>
      </x:c>
    </x:row>
    <x:row r="2" ht="28" customHeight="1">
      <x:c r="A2" s="9" t="str">
        <x:v>Edit blue cells only. Yellow inputs require a quote, time study or owner confirmation before a real investment decision.</x:v>
      </x:c>
      <x:c r="B2" s="9" t="str">
        <x:v>Edit blue cells only. Yellow inputs require a quote, time study or owner confirmation before a real investment decision.</x:v>
      </x:c>
      <x:c r="C2" s="9" t="str">
        <x:v>Edit blue cells only. Yellow inputs require a quote, time study or owner confirmation before a real investment decision.</x:v>
      </x:c>
      <x:c r="D2" s="9" t="str">
        <x:v>Edit blue cells only. Yellow inputs require a quote, time study or owner confirmation before a real investment decision.</x:v>
      </x:c>
      <x:c r="E2" s="9" t="str">
        <x:v>Edit blue cells only. Yellow inputs require a quote, time study or owner confirmation before a real investment decision.</x:v>
      </x:c>
      <x:c r="F2" s="9" t="str">
        <x:v>Edit blue cells only. Yellow inputs require a quote, time study or owner confirmation before a real investment decision.</x:v>
      </x:c>
      <x:c r="G2" s="9" t="str">
        <x:v>Edit blue cells only. Yellow inputs require a quote, time study or owner confirmation before a real investment decision.</x:v>
      </x:c>
      <x:c r="H2" s="9" t="str">
        <x:v>Edit blue cells only. Yellow inputs require a quote, time study or owner confirmation before a real investment decision.</x:v>
      </x:c>
      <x:c r="I2" s="9" t="str">
        <x:v>Edit blue cells only. Yellow inputs require a quote, time study or owner confirmation before a real investment decision.</x:v>
      </x:c>
      <x:c r="J2" s="9" t="str">
        <x:v>Edit blue cells only. Yellow inputs require a quote, time study or owner confirmation before a real investment decision.</x:v>
      </x:c>
    </x:row>
    <x:row r="3">
      <x:c r="A3" s="312" t="str">
        <x:v>Selected scenario</x:v>
      </x:c>
      <x:c r="B3" s="313" t="str">
        <x:v>Base Case</x:v>
      </x:c>
      <x:c r="C3" s="287"/>
      <x:c r="D3" s="162" t="str">
        <x:v>The Active Value column feeds the selected-scenario cash-flow model.</x:v>
      </x:c>
      <x:c r="E3" s="162" t="str">
        <x:v>The Active Value column feeds the selected-scenario cash-flow model.</x:v>
      </x:c>
      <x:c r="F3" s="162" t="str">
        <x:v>The Active Value column feeds the selected-scenario cash-flow model.</x:v>
      </x:c>
      <x:c r="G3" s="162" t="str">
        <x:v>The Active Value column feeds the selected-scenario cash-flow model.</x:v>
      </x:c>
      <x:c r="H3" s="162" t="str">
        <x:v>The Active Value column feeds the selected-scenario cash-flow model.</x:v>
      </x:c>
      <x:c r="I3" s="162" t="str">
        <x:v>The Active Value column feeds the selected-scenario cash-flow model.</x:v>
      </x:c>
      <x:c r="J3" s="162" t="str">
        <x:v>The Active Value column feeds the selected-scenario cash-flow model.</x:v>
      </x:c>
    </x:row>
    <x:row r="4">
      <x:c r="A4" s="287"/>
      <x:c r="B4" s="287"/>
      <x:c r="C4" s="287"/>
      <x:c r="D4" s="287"/>
      <x:c r="E4" s="287"/>
      <x:c r="F4" s="287"/>
      <x:c r="G4" s="287"/>
      <x:c r="H4" s="287"/>
      <x:c r="I4" s="287"/>
      <x:c r="J4" s="287"/>
    </x:row>
    <x:row r="5" ht="28" customHeight="1">
      <x:c r="A5" s="46" t="str">
        <x:v>Category</x:v>
      </x:c>
      <x:c r="B5" s="46" t="str">
        <x:v>Variable</x:v>
      </x:c>
      <x:c r="C5" s="46" t="str">
        <x:v>Unit</x:v>
      </x:c>
      <x:c r="D5" s="46" t="str">
        <x:v>Downside</x:v>
      </x:c>
      <x:c r="E5" s="46" t="str">
        <x:v>Base Case</x:v>
      </x:c>
      <x:c r="F5" s="46" t="str">
        <x:v>Upside</x:v>
      </x:c>
      <x:c r="G5" s="46" t="str">
        <x:v>Input Type</x:v>
      </x:c>
      <x:c r="H5" s="46" t="str">
        <x:v>Source ID</x:v>
      </x:c>
      <x:c r="I5" s="46" t="str">
        <x:v>Source / Rationale</x:v>
      </x:c>
      <x:c r="J5" s="46" t="str">
        <x:v>Active Value</x:v>
      </x:c>
    </x:row>
    <x:row r="6" ht="25" customHeight="1">
      <x:c r="A6" s="51" t="str">
        <x:v>Case setup</x:v>
      </x:c>
      <x:c r="B6" s="51" t="str">
        <x:v>Evaluation horizon</x:v>
      </x:c>
      <x:c r="C6" s="51" t="str">
        <x:v>years</x:v>
      </x:c>
      <x:c r="D6" s="93" t="n">
        <x:v>5</x:v>
      </x:c>
      <x:c r="E6" s="93" t="n">
        <x:v>5</x:v>
      </x:c>
      <x:c r="F6" s="93" t="n">
        <x:v>5</x:v>
      </x:c>
      <x:c r="G6" s="51" t="str">
        <x:v>Model assumption</x:v>
      </x:c>
      <x:c r="H6" s="51" t="str">
        <x:v>A1</x:v>
      </x:c>
      <x:c r="I6" s="54" t="str">
        <x:v>Five-year horizon keeps the case compact and interview-friendly.</x:v>
      </x:c>
      <x:c r="J6" s="103" t="n">
        <x:f>IF($B$3="Downside",D6,IF($B$3="Base Case",E6,F6))</x:f>
        <x:v>5</x:v>
      </x:c>
    </x:row>
    <x:row r="7" ht="25" customHeight="1">
      <x:c r="A7" s="52" t="str">
        <x:v>Case setup</x:v>
      </x:c>
      <x:c r="B7" s="52" t="str">
        <x:v>Discount rate</x:v>
      </x:c>
      <x:c r="C7" s="52" t="str">
        <x:v>%</x:v>
      </x:c>
      <x:c r="D7" s="94" t="n">
        <x:v>0.1</x:v>
      </x:c>
      <x:c r="E7" s="94" t="n">
        <x:v>0.08</x:v>
      </x:c>
      <x:c r="F7" s="94" t="n">
        <x:v>0.06</x:v>
      </x:c>
      <x:c r="G7" s="52" t="str">
        <x:v>Management assumption</x:v>
      </x:c>
      <x:c r="H7" s="52" t="str">
        <x:v>A2</x:v>
      </x:c>
      <x:c r="I7" s="55" t="str">
        <x:v>Illustrative hurdle-rate range; replace with company WACC or approved investment hurdle.</x:v>
      </x:c>
      <x:c r="J7" s="104" t="n">
        <x:f>IF($B$3="Downside",D7,IF($B$3="Base Case",E7,F7))</x:f>
        <x:v>0.08</x:v>
      </x:c>
    </x:row>
    <x:row r="8" ht="25" customHeight="1">
      <x:c r="A8" s="52" t="str">
        <x:v>Case setup</x:v>
      </x:c>
      <x:c r="B8" s="52" t="str">
        <x:v>Corporate tax rate</x:v>
      </x:c>
      <x:c r="C8" s="52" t="str">
        <x:v>%</x:v>
      </x:c>
      <x:c r="D8" s="94" t="n">
        <x:v>0.206</x:v>
      </x:c>
      <x:c r="E8" s="94" t="n">
        <x:v>0.206</x:v>
      </x:c>
      <x:c r="F8" s="94" t="n">
        <x:v>0.206</x:v>
      </x:c>
      <x:c r="G8" s="52" t="str">
        <x:v>Public source</x:v>
      </x:c>
      <x:c r="H8" s="52" t="str">
        <x:v>S4</x:v>
      </x:c>
      <x:c r="I8" s="55" t="str">
        <x:v>Swedish corporate income tax rate used as a simplified cash-tax assumption.</x:v>
      </x:c>
      <x:c r="J8" s="104" t="n">
        <x:f>IF($B$3="Downside",D8,IF($B$3="Base Case",E8,F8))</x:f>
        <x:v>0.206</x:v>
      </x:c>
    </x:row>
    <x:row r="9" ht="25" customHeight="1">
      <x:c r="A9" s="52" t="str">
        <x:v>Case setup</x:v>
      </x:c>
      <x:c r="B9" s="52" t="str">
        <x:v>Depreciation period</x:v>
      </x:c>
      <x:c r="C9" s="52" t="str">
        <x:v>years</x:v>
      </x:c>
      <x:c r="D9" s="95" t="n">
        <x:v>5</x:v>
      </x:c>
      <x:c r="E9" s="95" t="n">
        <x:v>5</x:v>
      </x:c>
      <x:c r="F9" s="95" t="n">
        <x:v>5</x:v>
      </x:c>
      <x:c r="G9" s="52" t="str">
        <x:v>Model assumption</x:v>
      </x:c>
      <x:c r="H9" s="52" t="str">
        <x:v>A3</x:v>
      </x:c>
      <x:c r="I9" s="55" t="str">
        <x:v>Straight-line depreciation for modelling simplicity; confirm tax treatment.</x:v>
      </x:c>
      <x:c r="J9" s="105" t="n">
        <x:f>IF($B$3="Downside",D9,IF($B$3="Base Case",E9,F9))</x:f>
        <x:v>5</x:v>
      </x:c>
    </x:row>
    <x:row r="10" ht="25" customHeight="1">
      <x:c r="A10" s="52" t="str">
        <x:v>Operating model</x:v>
      </x:c>
      <x:c r="B10" s="52" t="str">
        <x:v>Shifts per day</x:v>
      </x:c>
      <x:c r="C10" s="52" t="str">
        <x:v>shifts/day</x:v>
      </x:c>
      <x:c r="D10" s="95" t="n">
        <x:v>1</x:v>
      </x:c>
      <x:c r="E10" s="95" t="n">
        <x:v>2</x:v>
      </x:c>
      <x:c r="F10" s="95" t="n">
        <x:v>3</x:v>
      </x:c>
      <x:c r="G10" s="52" t="str">
        <x:v>Site assumption</x:v>
      </x:c>
      <x:c r="H10" s="52" t="str">
        <x:v>A4</x:v>
      </x:c>
      <x:c r="I10" s="55" t="str">
        <x:v>Primary operating-condition driver; confirm production schedule.</x:v>
      </x:c>
      <x:c r="J10" s="105" t="n">
        <x:f>IF($B$3="Downside",D10,IF($B$3="Base Case",E10,F10))</x:f>
        <x:v>2</x:v>
      </x:c>
    </x:row>
    <x:row r="11" ht="25" customHeight="1">
      <x:c r="A11" s="52" t="str">
        <x:v>Operating model</x:v>
      </x:c>
      <x:c r="B11" s="52" t="str">
        <x:v>Operating days per year</x:v>
      </x:c>
      <x:c r="C11" s="52" t="str">
        <x:v>days/year</x:v>
      </x:c>
      <x:c r="D11" s="95" t="n">
        <x:v>225</x:v>
      </x:c>
      <x:c r="E11" s="95" t="n">
        <x:v>240</x:v>
      </x:c>
      <x:c r="F11" s="95" t="n">
        <x:v>250</x:v>
      </x:c>
      <x:c r="G11" s="52" t="str">
        <x:v>Site assumption</x:v>
      </x:c>
      <x:c r="H11" s="52" t="str">
        <x:v>A5</x:v>
      </x:c>
      <x:c r="I11" s="55" t="str">
        <x:v>Scenario range for planned production days.</x:v>
      </x:c>
      <x:c r="J11" s="105" t="n">
        <x:f>IF($B$3="Downside",D11,IF($B$3="Base Case",E11,F11))</x:f>
        <x:v>240</x:v>
      </x:c>
    </x:row>
    <x:row r="12" ht="25" customHeight="1">
      <x:c r="A12" s="52" t="str">
        <x:v>Operating model</x:v>
      </x:c>
      <x:c r="B12" s="52" t="str">
        <x:v>Productive hours per shift</x:v>
      </x:c>
      <x:c r="C12" s="52" t="str">
        <x:v>hours/shift</x:v>
      </x:c>
      <x:c r="D12" s="96" t="n">
        <x:v>7.2</x:v>
      </x:c>
      <x:c r="E12" s="96" t="n">
        <x:v>7.5</x:v>
      </x:c>
      <x:c r="F12" s="96" t="n">
        <x:v>7.7</x:v>
      </x:c>
      <x:c r="G12" s="52" t="str">
        <x:v>Site assumption</x:v>
      </x:c>
      <x:c r="H12" s="52" t="str">
        <x:v>A6</x:v>
      </x:c>
      <x:c r="I12" s="55" t="str">
        <x:v>Excludes planned breaks and non-productive time.</x:v>
      </x:c>
      <x:c r="J12" s="106" t="n">
        <x:f>IF($B$3="Downside",D12,IF($B$3="Base Case",E12,F12))</x:f>
        <x:v>7.5</x:v>
      </x:c>
    </x:row>
    <x:row r="13" ht="25" customHeight="1">
      <x:c r="A13" s="52" t="str">
        <x:v>Operating model</x:v>
      </x:c>
      <x:c r="B13" s="52" t="str">
        <x:v>Operators assigned per shift</x:v>
      </x:c>
      <x:c r="C13" s="52" t="str">
        <x:v>FTE/shift</x:v>
      </x:c>
      <x:c r="D13" s="96" t="n">
        <x:v>1</x:v>
      </x:c>
      <x:c r="E13" s="96" t="n">
        <x:v>1</x:v>
      </x:c>
      <x:c r="F13" s="96" t="n">
        <x:v>1</x:v>
      </x:c>
      <x:c r="G13" s="52" t="str">
        <x:v>Site assumption</x:v>
      </x:c>
      <x:c r="H13" s="52" t="str">
        <x:v>A7</x:v>
      </x:c>
      <x:c r="I13" s="55" t="str">
        <x:v>One person currently allocated to manual palletizing per shift.</x:v>
      </x:c>
      <x:c r="J13" s="106" t="n">
        <x:f>IF($B$3="Downside",D13,IF($B$3="Base Case",E13,F13))</x:f>
        <x:v>1</x:v>
      </x:c>
    </x:row>
    <x:row r="14" ht="25" customHeight="1">
      <x:c r="A14" s="52" t="str">
        <x:v>Operating model</x:v>
      </x:c>
      <x:c r="B14" s="52" t="str">
        <x:v>Labor-savings realization rate</x:v>
      </x:c>
      <x:c r="C14" s="52" t="str">
        <x:v>%</x:v>
      </x:c>
      <x:c r="D14" s="94" t="n">
        <x:v>0.45</x:v>
      </x:c>
      <x:c r="E14" s="94" t="n">
        <x:v>0.65</x:v>
      </x:c>
      <x:c r="F14" s="94" t="n">
        <x:v>0.85</x:v>
      </x:c>
      <x:c r="G14" s="52" t="str">
        <x:v>Decision assumption</x:v>
      </x:c>
      <x:c r="H14" s="52" t="str">
        <x:v>A8</x:v>
      </x:c>
      <x:c r="I14" s="55" t="str">
        <x:v>Share of addressable labor cost that can truly be removed or redeployed to measured value-added work.</x:v>
      </x:c>
      <x:c r="J14" s="104" t="n">
        <x:f>IF($B$3="Downside",D14,IF($B$3="Base Case",E14,F14))</x:f>
        <x:v>0.65</x:v>
      </x:c>
    </x:row>
    <x:row r="15" ht="25" customHeight="1">
      <x:c r="A15" s="52" t="str">
        <x:v>Operating model</x:v>
      </x:c>
      <x:c r="B15" s="52" t="str">
        <x:v>Cell uptime</x:v>
      </x:c>
      <x:c r="C15" s="52" t="str">
        <x:v>%</x:v>
      </x:c>
      <x:c r="D15" s="94" t="n">
        <x:v>0.85</x:v>
      </x:c>
      <x:c r="E15" s="94" t="n">
        <x:v>0.92</x:v>
      </x:c>
      <x:c r="F15" s="94" t="n">
        <x:v>0.96</x:v>
      </x:c>
      <x:c r="G15" s="52" t="str">
        <x:v>Engineering assumption</x:v>
      </x:c>
      <x:c r="H15" s="52" t="str">
        <x:v>A9</x:v>
      </x:c>
      <x:c r="I15" s="55" t="str">
        <x:v>Availability assumption pending site trial and maintenance plan.</x:v>
      </x:c>
      <x:c r="J15" s="104" t="n">
        <x:f>IF($B$3="Downside",D15,IF($B$3="Base Case",E15,F15))</x:f>
        <x:v>0.92</x:v>
      </x:c>
    </x:row>
    <x:row r="16" ht="25" customHeight="1">
      <x:c r="A16" s="52" t="str">
        <x:v>Operating model</x:v>
      </x:c>
      <x:c r="B16" s="52" t="str">
        <x:v>Annual labor cost inflation</x:v>
      </x:c>
      <x:c r="C16" s="52" t="str">
        <x:v>%</x:v>
      </x:c>
      <x:c r="D16" s="94" t="n">
        <x:v>0.02</x:v>
      </x:c>
      <x:c r="E16" s="94" t="n">
        <x:v>0.03</x:v>
      </x:c>
      <x:c r="F16" s="94" t="n">
        <x:v>0.04</x:v>
      </x:c>
      <x:c r="G16" s="52" t="str">
        <x:v>Economic assumption</x:v>
      </x:c>
      <x:c r="H16" s="52" t="str">
        <x:v>A10</x:v>
      </x:c>
      <x:c r="I16" s="55" t="str">
        <x:v>Scenario range; not a forecast.</x:v>
      </x:c>
      <x:c r="J16" s="104" t="n">
        <x:f>IF($B$3="Downside",D16,IF($B$3="Base Case",E16,F16))</x:f>
        <x:v>0.03</x:v>
      </x:c>
    </x:row>
    <x:row r="17" ht="25" customHeight="1">
      <x:c r="A17" s="52" t="str">
        <x:v>Operating model</x:v>
      </x:c>
      <x:c r="B17" s="52" t="str">
        <x:v>Loaded labor cost</x:v>
      </x:c>
      <x:c r="C17" s="52" t="str">
        <x:v>SEK/hour</x:v>
      </x:c>
      <x:c r="D17" s="97" t="n">
        <x:v>390</x:v>
      </x:c>
      <x:c r="E17" s="97" t="n">
        <x:v>450</x:v>
      </x:c>
      <x:c r="F17" s="97" t="n">
        <x:v>510</x:v>
      </x:c>
      <x:c r="G17" s="52" t="str">
        <x:v>Benchmark + assumption</x:v>
      </x:c>
      <x:c r="H17" s="52" t="str">
        <x:v>S3 / A11</x:v>
      </x:c>
      <x:c r="I17" s="55" t="str">
        <x:v>Rounded scenario range anchored to public labor-cost data; replace with site payroll and overhead.</x:v>
      </x:c>
      <x:c r="J17" s="107" t="n">
        <x:f>IF($B$3="Downside",D17,IF($B$3="Base Case",E17,F17))</x:f>
        <x:v>450</x:v>
      </x:c>
    </x:row>
    <x:row r="18" ht="25" customHeight="1">
      <x:c r="A18" s="52" t="str">
        <x:v>Technical feasibility</x:v>
      </x:c>
      <x:c r="B18" s="52" t="str">
        <x:v>Carton weight</x:v>
      </x:c>
      <x:c r="C18" s="52" t="str">
        <x:v>kg</x:v>
      </x:c>
      <x:c r="D18" s="96" t="n">
        <x:v>12</x:v>
      </x:c>
      <x:c r="E18" s="96" t="n">
        <x:v>12</x:v>
      </x:c>
      <x:c r="F18" s="96" t="n">
        <x:v>12</x:v>
      </x:c>
      <x:c r="G18" s="52" t="str">
        <x:v>Public case reference</x:v>
      </x:c>
      <x:c r="H18" s="52" t="str">
        <x:v>S2</x:v>
      </x:c>
      <x:c r="I18" s="55" t="str">
        <x:v>UR case study reports handling products up to 12 kg.</x:v>
      </x:c>
      <x:c r="J18" s="106" t="n">
        <x:f>IF($B$3="Downside",D18,IF($B$3="Base Case",E18,F18))</x:f>
        <x:v>12</x:v>
      </x:c>
    </x:row>
    <x:row r="19" ht="25" customHeight="1">
      <x:c r="A19" s="52" t="str">
        <x:v>Technical feasibility</x:v>
      </x:c>
      <x:c r="B19" s="52" t="str">
        <x:v>End-effector weight</x:v>
      </x:c>
      <x:c r="C19" s="52" t="str">
        <x:v>kg</x:v>
      </x:c>
      <x:c r="D19" s="98" t="n">
        <x:v>5</x:v>
      </x:c>
      <x:c r="E19" s="98" t="n">
        <x:v>5</x:v>
      </x:c>
      <x:c r="F19" s="98" t="n">
        <x:v>5</x:v>
      </x:c>
      <x:c r="G19" s="52" t="str">
        <x:v>Engineering assumption</x:v>
      </x:c>
      <x:c r="H19" s="52" t="str">
        <x:v>A12</x:v>
      </x:c>
      <x:c r="I19" s="55" t="str">
        <x:v>Placeholder for gripper and tooling; verify supplier specification.</x:v>
      </x:c>
      <x:c r="J19" s="106" t="n">
        <x:f>IF($B$3="Downside",D19,IF($B$3="Base Case",E19,F19))</x:f>
        <x:v>5</x:v>
      </x:c>
    </x:row>
    <x:row r="20" ht="25" customHeight="1">
      <x:c r="A20" s="52" t="str">
        <x:v>Technical feasibility</x:v>
      </x:c>
      <x:c r="B20" s="52" t="str">
        <x:v>Robot payload rating used</x:v>
      </x:c>
      <x:c r="C20" s="52" t="str">
        <x:v>kg</x:v>
      </x:c>
      <x:c r="D20" s="96" t="n">
        <x:v>20</x:v>
      </x:c>
      <x:c r="E20" s="96" t="n">
        <x:v>20</x:v>
      </x:c>
      <x:c r="F20" s="96" t="n">
        <x:v>20</x:v>
      </x:c>
      <x:c r="G20" s="52" t="str">
        <x:v>Public source</x:v>
      </x:c>
      <x:c r="H20" s="52" t="str">
        <x:v>S1</x:v>
      </x:c>
      <x:c r="I20" s="55" t="str">
        <x:v>Conservative nominal payload; UR states up to 25 kg under boundary conditions.</x:v>
      </x:c>
      <x:c r="J20" s="106" t="n">
        <x:f>IF($B$3="Downside",D20,IF($B$3="Base Case",E20,F20))</x:f>
        <x:v>20</x:v>
      </x:c>
    </x:row>
    <x:row r="21" ht="25" customHeight="1">
      <x:c r="A21" s="52" t="str">
        <x:v>Technical feasibility</x:v>
      </x:c>
      <x:c r="B21" s="52" t="str">
        <x:v>Robot reach</x:v>
      </x:c>
      <x:c r="C21" s="52" t="str">
        <x:v>mm</x:v>
      </x:c>
      <x:c r="D21" s="96" t="n">
        <x:v>1750</x:v>
      </x:c>
      <x:c r="E21" s="96" t="n">
        <x:v>1750</x:v>
      </x:c>
      <x:c r="F21" s="96" t="n">
        <x:v>1750</x:v>
      </x:c>
      <x:c r="G21" s="52" t="str">
        <x:v>Public source</x:v>
      </x:c>
      <x:c r="H21" s="52" t="str">
        <x:v>S1</x:v>
      </x:c>
      <x:c r="I21" s="55" t="str">
        <x:v>Published UR20 reach.</x:v>
      </x:c>
      <x:c r="J21" s="106" t="n">
        <x:f>IF($B$3="Downside",D21,IF($B$3="Base Case",E21,F21))</x:f>
        <x:v>1750</x:v>
      </x:c>
    </x:row>
    <x:row r="22" ht="25" customHeight="1">
      <x:c r="A22" s="52" t="str">
        <x:v>Technical feasibility</x:v>
      </x:c>
      <x:c r="B22" s="52" t="str">
        <x:v>Required line rate</x:v>
      </x:c>
      <x:c r="C22" s="52" t="str">
        <x:v>cartons/hour</x:v>
      </x:c>
      <x:c r="D22" s="96" t="n">
        <x:v>220</x:v>
      </x:c>
      <x:c r="E22" s="96" t="n">
        <x:v>220</x:v>
      </x:c>
      <x:c r="F22" s="96" t="n">
        <x:v>220</x:v>
      </x:c>
      <x:c r="G22" s="52" t="str">
        <x:v>Site assumption</x:v>
      </x:c>
      <x:c r="H22" s="52" t="str">
        <x:v>A13</x:v>
      </x:c>
      <x:c r="I22" s="55" t="str">
        <x:v>Current process demand; must be measured on site.</x:v>
      </x:c>
      <x:c r="J22" s="106" t="n">
        <x:f>IF($B$3="Downside",D22,IF($B$3="Base Case",E22,F22))</x:f>
        <x:v>220</x:v>
      </x:c>
    </x:row>
    <x:row r="23" ht="25" customHeight="1">
      <x:c r="A23" s="52" t="str">
        <x:v>Technical feasibility</x:v>
      </x:c>
      <x:c r="B23" s="52" t="str">
        <x:v>Designed cell throughput</x:v>
      </x:c>
      <x:c r="C23" s="52" t="str">
        <x:v>cartons/hour</x:v>
      </x:c>
      <x:c r="D23" s="98" t="n">
        <x:v>230</x:v>
      </x:c>
      <x:c r="E23" s="98" t="n">
        <x:v>250</x:v>
      </x:c>
      <x:c r="F23" s="98" t="n">
        <x:v>280</x:v>
      </x:c>
      <x:c r="G23" s="52" t="str">
        <x:v>Engineering assumption</x:v>
      </x:c>
      <x:c r="H23" s="52" t="str">
        <x:v>A14</x:v>
      </x:c>
      <x:c r="I23" s="55" t="str">
        <x:v>Illustrative cycle-rate range; requires layout and cycle-time study.</x:v>
      </x:c>
      <x:c r="J23" s="106" t="n">
        <x:f>IF($B$3="Downside",D23,IF($B$3="Base Case",E23,F23))</x:f>
        <x:v>250</x:v>
      </x:c>
    </x:row>
    <x:row r="24" ht="25" customHeight="1">
      <x:c r="A24" s="52" t="str">
        <x:v>Technical feasibility</x:v>
      </x:c>
      <x:c r="B24" s="52" t="str">
        <x:v>Average robot power draw</x:v>
      </x:c>
      <x:c r="C24" s="52" t="str">
        <x:v>kW</x:v>
      </x:c>
      <x:c r="D24" s="99" t="n">
        <x:v>0.75</x:v>
      </x:c>
      <x:c r="E24" s="99" t="n">
        <x:v>0.5</x:v>
      </x:c>
      <x:c r="F24" s="99" t="n">
        <x:v>0.3</x:v>
      </x:c>
      <x:c r="G24" s="52" t="str">
        <x:v>Public source</x:v>
      </x:c>
      <x:c r="H24" s="52" t="str">
        <x:v>S1</x:v>
      </x:c>
      <x:c r="I24" s="55" t="str">
        <x:v>UR20 data sheet: 750 W maximum and about 500 W in a typical program; 300 W used as upside case.</x:v>
      </x:c>
      <x:c r="J24" s="108" t="n">
        <x:f>IF($B$3="Downside",D24,IF($B$3="Base Case",E24,F24))</x:f>
        <x:v>0.5</x:v>
      </x:c>
    </x:row>
    <x:row r="25" ht="25" customHeight="1">
      <x:c r="A25" s="52" t="str">
        <x:v>Initial investment</x:v>
      </x:c>
      <x:c r="B25" s="52" t="str">
        <x:v>Robot and controller</x:v>
      </x:c>
      <x:c r="C25" s="52" t="str">
        <x:v>SEK</x:v>
      </x:c>
      <x:c r="D25" s="100" t="n">
        <x:v>750000</x:v>
      </x:c>
      <x:c r="E25" s="100" t="n">
        <x:v>650000</x:v>
      </x:c>
      <x:c r="F25" s="100" t="n">
        <x:v>600000</x:v>
      </x:c>
      <x:c r="G25" s="52" t="str">
        <x:v>Quote placeholder</x:v>
      </x:c>
      <x:c r="H25" s="52" t="str">
        <x:v>A15</x:v>
      </x:c>
      <x:c r="I25" s="55" t="str">
        <x:v>Illustrative only — obtain supplier quote.</x:v>
      </x:c>
      <x:c r="J25" s="107" t="n">
        <x:f>IF($B$3="Downside",D25,IF($B$3="Base Case",E25,F25))</x:f>
        <x:v>650000</x:v>
      </x:c>
    </x:row>
    <x:row r="26" ht="25" customHeight="1">
      <x:c r="A26" s="52" t="str">
        <x:v>Initial investment</x:v>
      </x:c>
      <x:c r="B26" s="52" t="str">
        <x:v>End-effector and pedestal</x:v>
      </x:c>
      <x:c r="C26" s="52" t="str">
        <x:v>SEK</x:v>
      </x:c>
      <x:c r="D26" s="100" t="n">
        <x:v>300000</x:v>
      </x:c>
      <x:c r="E26" s="100" t="n">
        <x:v>250000</x:v>
      </x:c>
      <x:c r="F26" s="100" t="n">
        <x:v>220000</x:v>
      </x:c>
      <x:c r="G26" s="52" t="str">
        <x:v>Quote placeholder</x:v>
      </x:c>
      <x:c r="H26" s="52" t="str">
        <x:v>A16</x:v>
      </x:c>
      <x:c r="I26" s="55" t="str">
        <x:v>Illustrative only — obtain supplier quote.</x:v>
      </x:c>
      <x:c r="J26" s="107" t="n">
        <x:f>IF($B$3="Downside",D26,IF($B$3="Base Case",E26,F26))</x:f>
        <x:v>250000</x:v>
      </x:c>
    </x:row>
    <x:row r="27" ht="25" customHeight="1">
      <x:c r="A27" s="52" t="str">
        <x:v>Initial investment</x:v>
      </x:c>
      <x:c r="B27" s="52" t="str">
        <x:v>Safety and conveyor integration</x:v>
      </x:c>
      <x:c r="C27" s="52" t="str">
        <x:v>SEK</x:v>
      </x:c>
      <x:c r="D27" s="100" t="n">
        <x:v>250000</x:v>
      </x:c>
      <x:c r="E27" s="100" t="n">
        <x:v>200000</x:v>
      </x:c>
      <x:c r="F27" s="100" t="n">
        <x:v>160000</x:v>
      </x:c>
      <x:c r="G27" s="52" t="str">
        <x:v>Quote placeholder</x:v>
      </x:c>
      <x:c r="H27" s="52" t="str">
        <x:v>A17</x:v>
      </x:c>
      <x:c r="I27" s="55" t="str">
        <x:v>Illustrative only — validate risk assessment and line-interface scope.</x:v>
      </x:c>
      <x:c r="J27" s="107" t="n">
        <x:f>IF($B$3="Downside",D27,IF($B$3="Base Case",E27,F27))</x:f>
        <x:v>200000</x:v>
      </x:c>
    </x:row>
    <x:row r="28" ht="25" customHeight="1">
      <x:c r="A28" s="52" t="str">
        <x:v>Initial investment</x:v>
      </x:c>
      <x:c r="B28" s="52" t="str">
        <x:v>Systems integration and commissioning</x:v>
      </x:c>
      <x:c r="C28" s="52" t="str">
        <x:v>SEK</x:v>
      </x:c>
      <x:c r="D28" s="100" t="n">
        <x:v>500000</x:v>
      </x:c>
      <x:c r="E28" s="100" t="n">
        <x:v>400000</x:v>
      </x:c>
      <x:c r="F28" s="100" t="n">
        <x:v>300000</x:v>
      </x:c>
      <x:c r="G28" s="52" t="str">
        <x:v>Quote placeholder</x:v>
      </x:c>
      <x:c r="H28" s="52" t="str">
        <x:v>A18</x:v>
      </x:c>
      <x:c r="I28" s="55" t="str">
        <x:v>Illustrative only — obtain integrator quote.</x:v>
      </x:c>
      <x:c r="J28" s="107" t="n">
        <x:f>IF($B$3="Downside",D28,IF($B$3="Base Case",E28,F28))</x:f>
        <x:v>400000</x:v>
      </x:c>
    </x:row>
    <x:row r="29" ht="25" customHeight="1">
      <x:c r="A29" s="52" t="str">
        <x:v>Initial investment</x:v>
      </x:c>
      <x:c r="B29" s="52" t="str">
        <x:v>Training and change management</x:v>
      </x:c>
      <x:c r="C29" s="52" t="str">
        <x:v>SEK</x:v>
      </x:c>
      <x:c r="D29" s="100" t="n">
        <x:v>100000</x:v>
      </x:c>
      <x:c r="E29" s="100" t="n">
        <x:v>75000</x:v>
      </x:c>
      <x:c r="F29" s="100" t="n">
        <x:v>50000</x:v>
      </x:c>
      <x:c r="G29" s="52" t="str">
        <x:v>Quote placeholder</x:v>
      </x:c>
      <x:c r="H29" s="52" t="str">
        <x:v>A19</x:v>
      </x:c>
      <x:c r="I29" s="55" t="str">
        <x:v>Illustrative allowance for launch, training and ramp-up.</x:v>
      </x:c>
      <x:c r="J29" s="107" t="n">
        <x:f>IF($B$3="Downside",D29,IF($B$3="Base Case",E29,F29))</x:f>
        <x:v>75000</x:v>
      </x:c>
    </x:row>
    <x:row r="30" ht="25" customHeight="1">
      <x:c r="A30" s="52" t="str">
        <x:v>Initial investment</x:v>
      </x:c>
      <x:c r="B30" s="52" t="str">
        <x:v>Contingency</x:v>
      </x:c>
      <x:c r="C30" s="52" t="str">
        <x:v>%</x:v>
      </x:c>
      <x:c r="D30" s="94" t="n">
        <x:v>0.15</x:v>
      </x:c>
      <x:c r="E30" s="94" t="n">
        <x:v>0.1</x:v>
      </x:c>
      <x:c r="F30" s="94" t="n">
        <x:v>0.05</x:v>
      </x:c>
      <x:c r="G30" s="52" t="str">
        <x:v>Management assumption</x:v>
      </x:c>
      <x:c r="H30" s="52" t="str">
        <x:v>A20</x:v>
      </x:c>
      <x:c r="I30" s="55" t="str">
        <x:v>Applied to the five installed-cost line items.</x:v>
      </x:c>
      <x:c r="J30" s="104" t="n">
        <x:f>IF($B$3="Downside",D30,IF($B$3="Base Case",E30,F30))</x:f>
        <x:v>0.1</x:v>
      </x:c>
    </x:row>
    <x:row r="31" ht="25" customHeight="1">
      <x:c r="A31" s="52" t="str">
        <x:v>Operating cost</x:v>
      </x:c>
      <x:c r="B31" s="52" t="str">
        <x:v>Annual maintenance</x:v>
      </x:c>
      <x:c r="C31" s="52" t="str">
        <x:v>% of capex</x:v>
      </x:c>
      <x:c r="D31" s="101" t="n">
        <x:v>0.07</x:v>
      </x:c>
      <x:c r="E31" s="101" t="n">
        <x:v>0.05</x:v>
      </x:c>
      <x:c r="F31" s="101" t="n">
        <x:v>0.04</x:v>
      </x:c>
      <x:c r="G31" s="52" t="str">
        <x:v>Quote placeholder</x:v>
      </x:c>
      <x:c r="H31" s="52" t="str">
        <x:v>A21</x:v>
      </x:c>
      <x:c r="I31" s="55" t="str">
        <x:v>Scenario range; replace with service contract and spare-parts plan.</x:v>
      </x:c>
      <x:c r="J31" s="104" t="n">
        <x:f>IF($B$3="Downside",D31,IF($B$3="Base Case",E31,F31))</x:f>
        <x:v>0.05</x:v>
      </x:c>
    </x:row>
    <x:row r="32" ht="25" customHeight="1">
      <x:c r="A32" s="52" t="str">
        <x:v>Operating cost</x:v>
      </x:c>
      <x:c r="B32" s="52" t="str">
        <x:v>Annual software and service</x:v>
      </x:c>
      <x:c r="C32" s="52" t="str">
        <x:v>SEK/year</x:v>
      </x:c>
      <x:c r="D32" s="100" t="n">
        <x:v>45000</x:v>
      </x:c>
      <x:c r="E32" s="100" t="n">
        <x:v>30000</x:v>
      </x:c>
      <x:c r="F32" s="100" t="n">
        <x:v>20000</x:v>
      </x:c>
      <x:c r="G32" s="52" t="str">
        <x:v>Quote placeholder</x:v>
      </x:c>
      <x:c r="H32" s="52" t="str">
        <x:v>A22</x:v>
      </x:c>
      <x:c r="I32" s="55" t="str">
        <x:v>Illustrative recurring support cost.</x:v>
      </x:c>
      <x:c r="J32" s="107" t="n">
        <x:f>IF($B$3="Downside",D32,IF($B$3="Base Case",E32,F32))</x:f>
        <x:v>30000</x:v>
      </x:c>
    </x:row>
    <x:row r="33" ht="25" customHeight="1">
      <x:c r="A33" s="52" t="str">
        <x:v>Operating cost</x:v>
      </x:c>
      <x:c r="B33" s="52" t="str">
        <x:v>Electricity price</x:v>
      </x:c>
      <x:c r="C33" s="52" t="str">
        <x:v>SEK/kWh</x:v>
      </x:c>
      <x:c r="D33" s="96" t="n">
        <x:v>2</x:v>
      </x:c>
      <x:c r="E33" s="96" t="n">
        <x:v>1.5</x:v>
      </x:c>
      <x:c r="F33" s="96" t="n">
        <x:v>1</x:v>
      </x:c>
      <x:c r="G33" s="52" t="str">
        <x:v>Economic assumption</x:v>
      </x:c>
      <x:c r="H33" s="52" t="str">
        <x:v>A23</x:v>
      </x:c>
      <x:c r="I33" s="55" t="str">
        <x:v>All-in site electricity scenario; replace with contract and network cost.</x:v>
      </x:c>
      <x:c r="J33" s="106" t="n">
        <x:f>IF($B$3="Downside",D33,IF($B$3="Base Case",E33,F33))</x:f>
        <x:v>1.5</x:v>
      </x:c>
    </x:row>
    <x:row r="34" ht="25" customHeight="1">
      <x:c r="A34" s="52" t="str">
        <x:v>Operating cost</x:v>
      </x:c>
      <x:c r="B34" s="52" t="str">
        <x:v>Annual operating-cost inflation</x:v>
      </x:c>
      <x:c r="C34" s="52" t="str">
        <x:v>%</x:v>
      </x:c>
      <x:c r="D34" s="94" t="n">
        <x:v>0.03</x:v>
      </x:c>
      <x:c r="E34" s="94" t="n">
        <x:v>0.02</x:v>
      </x:c>
      <x:c r="F34" s="94" t="n">
        <x:v>0.01</x:v>
      </x:c>
      <x:c r="G34" s="52" t="str">
        <x:v>Economic assumption</x:v>
      </x:c>
      <x:c r="H34" s="52" t="str">
        <x:v>A24</x:v>
      </x:c>
      <x:c r="I34" s="55" t="str">
        <x:v>Applied to maintenance, service, electricity and other benefits.</x:v>
      </x:c>
      <x:c r="J34" s="104" t="n">
        <x:f>IF($B$3="Downside",D34,IF($B$3="Base Case",E34,F34))</x:f>
        <x:v>0.02</x:v>
      </x:c>
    </x:row>
    <x:row r="35" ht="25" customHeight="1">
      <x:c r="A35" s="52" t="str">
        <x:v>End of life</x:v>
      </x:c>
      <x:c r="B35" s="52" t="str">
        <x:v>Salvage value</x:v>
      </x:c>
      <x:c r="C35" s="52" t="str">
        <x:v>% of capex</x:v>
      </x:c>
      <x:c r="D35" s="94" t="n">
        <x:v>0</x:v>
      </x:c>
      <x:c r="E35" s="94" t="n">
        <x:v>0.05</x:v>
      </x:c>
      <x:c r="F35" s="94" t="n">
        <x:v>0.1</x:v>
      </x:c>
      <x:c r="G35" s="52" t="str">
        <x:v>Management assumption</x:v>
      </x:c>
      <x:c r="H35" s="52" t="str">
        <x:v>A25</x:v>
      </x:c>
      <x:c r="I35" s="55" t="str">
        <x:v>After-tax salvage proceeds are included in Year 5.</x:v>
      </x:c>
      <x:c r="J35" s="104" t="n">
        <x:f>IF($B$3="Downside",D35,IF($B$3="Base Case",E35,F35))</x:f>
        <x:v>0.05</x:v>
      </x:c>
    </x:row>
    <x:row r="36" ht="25" customHeight="1">
      <x:c r="A36" s="53" t="str">
        <x:v>Benefits</x:v>
      </x:c>
      <x:c r="B36" s="53" t="str">
        <x:v>Other quantified annual benefit</x:v>
      </x:c>
      <x:c r="C36" s="53" t="str">
        <x:v>SEK/year</x:v>
      </x:c>
      <x:c r="D36" s="102" t="n">
        <x:v>0</x:v>
      </x:c>
      <x:c r="E36" s="102" t="n">
        <x:v>0</x:v>
      </x:c>
      <x:c r="F36" s="102" t="n">
        <x:v>0</x:v>
      </x:c>
      <x:c r="G36" s="53" t="str">
        <x:v>Conservative assumption</x:v>
      </x:c>
      <x:c r="H36" s="53" t="str">
        <x:v>A26</x:v>
      </x:c>
      <x:c r="I36" s="56" t="str">
        <x:v>Set to zero to avoid unsubstantiated safety, quality or capacity benefits.</x:v>
      </x:c>
      <x:c r="J36" s="107" t="n">
        <x:f>IF($B$3="Downside",D36,IF($B$3="Base Case",E36,F36))</x:f>
        <x:v>0</x:v>
      </x:c>
    </x:row>
  </x:sheetData>
  <x:mergeCells>
    <x:mergeCell ref="A1:J1"/>
    <x:mergeCell ref="A2:J2"/>
    <x:mergeCell ref="D3:J3"/>
  </x:mergeCells>
  <x:dataValidations count="1">
    <x:dataValidation type="list" sqref="B3">
      <x:formula1>"Downside,Base Case,Upside"</x:formula1>
    </x:dataValidation>
  </x:dataValidations>
  <x:pageMargins left="0.7" right="0.7" top="0.75" bottom="0.75" header="0.3" footer="0.3"/>
  <x:legacyDrawing xmlns:r="http://schemas.openxmlformats.org/officeDocument/2006/relationships" r:id="Ree72057766df49a5"/>
</x:worksheet>
</file>

<file path=xl/worksheets/sheet3.xml><?xml version="1.0" encoding="utf-8"?>
<x:worksheet xmlns:x="http://schemas.openxmlformats.org/spreadsheetml/2006/main">
  <x:sheetViews>
    <x:sheetView showGridLines="0" workbookViewId="0"/>
  </x:sheetViews>
  <x:sheetFormatPr defaultRowHeight="15"/>
  <x:cols>
    <x:col min="1" max="1" width="35" hidden="0" customWidth="1"/>
    <x:col min="2" max="2" width="16"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3" hidden="0" customWidth="1"/>
    <x:col min="10" max="10" width="26" hidden="0" customWidth="1"/>
    <x:col min="11" max="11" width="18" hidden="0" customWidth="1"/>
    <x:col min="12" max="12" width="38" hidden="0" customWidth="1"/>
    <x:col min="13" max="13" width="8" hidden="0" customWidth="1"/>
  </x:cols>
  <x:sheetData>
    <x:row r="1" ht="32" customHeight="1">
      <x:c r="A1" s="4" t="str">
        <x:v>02 | Selected-Scenario Cash Flow</x:v>
      </x:c>
      <x:c r="B1" s="4" t="str">
        <x:v>02 | Selected-Scenario Cash Flow</x:v>
      </x:c>
      <x:c r="C1" s="4" t="str">
        <x:v>02 | Selected-Scenario Cash Flow</x:v>
      </x:c>
      <x:c r="D1" s="4" t="str">
        <x:v>02 | Selected-Scenario Cash Flow</x:v>
      </x:c>
      <x:c r="E1" s="4" t="str">
        <x:v>02 | Selected-Scenario Cash Flow</x:v>
      </x:c>
      <x:c r="F1" s="4" t="str">
        <x:v>02 | Selected-Scenario Cash Flow</x:v>
      </x:c>
      <x:c r="G1" s="4" t="str">
        <x:v>02 | Selected-Scenario Cash Flow</x:v>
      </x:c>
      <x:c r="H1" s="4" t="str">
        <x:v>02 | Selected-Scenario Cash Flow</x:v>
      </x:c>
      <x:c r="I1" s="4" t="str">
        <x:v>02 | Selected-Scenario Cash Flow</x:v>
      </x:c>
      <x:c r="J1" s="4" t="str">
        <x:v>02 | Selected-Scenario Cash Flow</x:v>
      </x:c>
      <x:c r="K1" s="4" t="str">
        <x:v>02 | Selected-Scenario Cash Flow</x:v>
      </x:c>
      <x:c r="L1" s="4" t="str">
        <x:v>02 | Selected-Scenario Cash Flow</x:v>
      </x:c>
      <x:c r="M1" s="4" t="str">
        <x:v>02 | Selected-Scenario Cash Flow</x:v>
      </x:c>
    </x:row>
    <x:row r="2" ht="28" customHeight="1">
      <x:c r="A2" s="9" t="str">
        <x:v>Five-year after-tax investment case. Change the scenario on 01_Assumptions — this sheet updates automatically.</x:v>
      </x:c>
      <x:c r="B2" s="9" t="str">
        <x:v>Five-year after-tax investment case. Change the scenario on 01_Assumptions — this sheet updates automatically.</x:v>
      </x:c>
      <x:c r="C2" s="9" t="str">
        <x:v>Five-year after-tax investment case. Change the scenario on 01_Assumptions — this sheet updates automatically.</x:v>
      </x:c>
      <x:c r="D2" s="9" t="str">
        <x:v>Five-year after-tax investment case. Change the scenario on 01_Assumptions — this sheet updates automatically.</x:v>
      </x:c>
      <x:c r="E2" s="9" t="str">
        <x:v>Five-year after-tax investment case. Change the scenario on 01_Assumptions — this sheet updates automatically.</x:v>
      </x:c>
      <x:c r="F2" s="9" t="str">
        <x:v>Five-year after-tax investment case. Change the scenario on 01_Assumptions — this sheet updates automatically.</x:v>
      </x:c>
      <x:c r="G2" s="9" t="str">
        <x:v>Five-year after-tax investment case. Change the scenario on 01_Assumptions — this sheet updates automatically.</x:v>
      </x:c>
      <x:c r="H2" s="9" t="str">
        <x:v>Five-year after-tax investment case. Change the scenario on 01_Assumptions — this sheet updates automatically.</x:v>
      </x:c>
      <x:c r="I2" s="9" t="str">
        <x:v>Five-year after-tax investment case. Change the scenario on 01_Assumptions — this sheet updates automatically.</x:v>
      </x:c>
      <x:c r="J2" s="9" t="str">
        <x:v>Five-year after-tax investment case. Change the scenario on 01_Assumptions — this sheet updates automatically.</x:v>
      </x:c>
      <x:c r="K2" s="9" t="str">
        <x:v>Five-year after-tax investment case. Change the scenario on 01_Assumptions — this sheet updates automatically.</x:v>
      </x:c>
      <x:c r="L2" s="9" t="str">
        <x:v>Five-year after-tax investment case. Change the scenario on 01_Assumptions — this sheet updates automatically.</x:v>
      </x:c>
      <x:c r="M2" s="9" t="str">
        <x:v>Five-year after-tax investment case. Change the scenario on 01_Assumptions — this sheet updates automatically.</x:v>
      </x:c>
    </x:row>
    <x:row r="3">
      <x:c r="A3" s="287"/>
      <x:c r="B3" s="287"/>
      <x:c r="C3" s="287"/>
      <x:c r="D3" s="287"/>
      <x:c r="E3" s="287"/>
      <x:c r="F3" s="287"/>
      <x:c r="G3" s="287"/>
      <x:c r="H3" s="287"/>
      <x:c r="I3" s="287"/>
      <x:c r="J3" s="287"/>
      <x:c r="K3" s="287"/>
      <x:c r="L3" s="287"/>
      <x:c r="M3" s="287"/>
    </x:row>
    <x:row r="4">
      <x:c r="A4" s="314" t="str">
        <x:v>Selected scenario</x:v>
      </x:c>
      <x:c r="B4" s="315" t="str">
        <x:f>'01_Assumptions'!$B$3</x:f>
        <x:v>Base Case</x:v>
      </x:c>
      <x:c r="C4" s="287"/>
      <x:c r="D4" s="287"/>
      <x:c r="E4" s="287"/>
      <x:c r="F4" s="287"/>
      <x:c r="G4" s="287"/>
      <x:c r="H4" s="287"/>
      <x:c r="I4" s="287"/>
      <x:c r="J4" s="287"/>
      <x:c r="K4" s="287"/>
      <x:c r="L4" s="287"/>
      <x:c r="M4" s="287"/>
    </x:row>
    <x:row r="5">
      <x:c r="A5" s="287"/>
      <x:c r="B5" s="287"/>
      <x:c r="C5" s="287"/>
      <x:c r="D5" s="287"/>
      <x:c r="E5" s="287"/>
      <x:c r="F5" s="287"/>
      <x:c r="G5" s="287"/>
      <x:c r="H5" s="287"/>
      <x:c r="I5" s="287"/>
      <x:c r="J5" s="287"/>
      <x:c r="K5" s="287"/>
      <x:c r="L5" s="287"/>
      <x:c r="M5" s="287"/>
    </x:row>
    <x:row r="6">
      <x:c r="A6" s="287"/>
      <x:c r="B6" s="287"/>
      <x:c r="C6" s="287"/>
      <x:c r="D6" s="287"/>
      <x:c r="E6" s="287"/>
      <x:c r="F6" s="287"/>
      <x:c r="G6" s="287"/>
      <x:c r="H6" s="287"/>
      <x:c r="I6" s="287"/>
      <x:c r="J6" s="287"/>
      <x:c r="K6" s="287"/>
      <x:c r="L6" s="287"/>
      <x:c r="M6" s="287"/>
    </x:row>
    <x:row r="7" ht="22" customHeight="1">
      <x:c r="A7" s="46" t="str">
        <x:v>Metric</x:v>
      </x:c>
      <x:c r="B7" s="46" t="str">
        <x:v>Unit</x:v>
      </x:c>
      <x:c r="C7" s="137" t="n">
        <x:v>0</x:v>
      </x:c>
      <x:c r="D7" s="137" t="n">
        <x:v>1</x:v>
      </x:c>
      <x:c r="E7" s="137" t="n">
        <x:v>2</x:v>
      </x:c>
      <x:c r="F7" s="137" t="n">
        <x:v>3</x:v>
      </x:c>
      <x:c r="G7" s="137" t="n">
        <x:v>4</x:v>
      </x:c>
      <x:c r="H7" s="137" t="n">
        <x:v>5</x:v>
      </x:c>
      <x:c r="I7" s="287"/>
      <x:c r="J7" s="13" t="str">
        <x:v>DECISION OUTPUTS</x:v>
      </x:c>
      <x:c r="K7" s="13" t="str">
        <x:v>DECISION OUTPUTS</x:v>
      </x:c>
      <x:c r="L7" s="13" t="str">
        <x:v>DECISION OUTPUTS</x:v>
      </x:c>
      <x:c r="M7" s="13" t="str">
        <x:v>DECISION OUTPUTS</x:v>
      </x:c>
    </x:row>
    <x:row r="8" ht="28" customHeight="1">
      <x:c r="A8" s="287"/>
      <x:c r="B8" s="287"/>
      <x:c r="C8" s="316"/>
      <x:c r="D8" s="316"/>
      <x:c r="E8" s="316"/>
      <x:c r="F8" s="316"/>
      <x:c r="G8" s="316"/>
      <x:c r="H8" s="316"/>
      <x:c r="I8" s="287"/>
      <x:c r="J8" s="46" t="str">
        <x:v>Metric</x:v>
      </x:c>
      <x:c r="K8" s="46" t="str">
        <x:v>Value</x:v>
      </x:c>
      <x:c r="L8" s="46" t="str">
        <x:v>Decision meaning</x:v>
      </x:c>
      <x:c r="M8" s="287"/>
    </x:row>
    <x:row r="9" ht="22" customHeight="1">
      <x:c r="A9" s="13" t="str">
        <x:v>CASH BENEFITS</x:v>
      </x:c>
      <x:c r="B9" s="13" t="str">
        <x:v>CASH BENEFITS</x:v>
      </x:c>
      <x:c r="C9" s="139" t="str">
        <x:v>CASH BENEFITS</x:v>
      </x:c>
      <x:c r="D9" s="139" t="str">
        <x:v>CASH BENEFITS</x:v>
      </x:c>
      <x:c r="E9" s="139" t="str">
        <x:v>CASH BENEFITS</x:v>
      </x:c>
      <x:c r="F9" s="139" t="str">
        <x:v>CASH BENEFITS</x:v>
      </x:c>
      <x:c r="G9" s="139" t="str">
        <x:v>CASH BENEFITS</x:v>
      </x:c>
      <x:c r="H9" s="139" t="str">
        <x:v>CASH BENEFITS</x:v>
      </x:c>
      <x:c r="I9" s="287"/>
      <x:c r="J9" s="152" t="str">
        <x:v>NPV</x:v>
      </x:c>
      <x:c r="K9" s="156" t="n">
        <x:f>SUM(C38:H38)</x:f>
        <x:v>1453054.562087467</x:v>
      </x:c>
      <x:c r="L9" s="54" t="str">
        <x:v>Value created after the required return</x:v>
      </x:c>
      <x:c r="M9" s="287"/>
    </x:row>
    <x:row r="10">
      <x:c r="A10" s="51" t="str">
        <x:v>Addressable labor hours</x:v>
      </x:c>
      <x:c r="B10" s="51" t="str">
        <x:v>hours/year</x:v>
      </x:c>
      <x:c r="C10" s="140" t="n">
        <x:f>0</x:f>
        <x:v>0</x:v>
      </x:c>
      <x:c r="D10" s="140" t="n">
        <x:f>'01_Assumptions'!$J$10*'01_Assumptions'!$J$11*'01_Assumptions'!$J$12*'01_Assumptions'!$J$13</x:f>
        <x:v>3600</x:v>
      </x:c>
      <x:c r="E10" s="140" t="n">
        <x:f>'01_Assumptions'!$J$10*'01_Assumptions'!$J$11*'01_Assumptions'!$J$12*'01_Assumptions'!$J$13</x:f>
        <x:v>3600</x:v>
      </x:c>
      <x:c r="F10" s="140" t="n">
        <x:f>'01_Assumptions'!$J$10*'01_Assumptions'!$J$11*'01_Assumptions'!$J$12*'01_Assumptions'!$J$13</x:f>
        <x:v>3600</x:v>
      </x:c>
      <x:c r="G10" s="140" t="n">
        <x:f>'01_Assumptions'!$J$10*'01_Assumptions'!$J$11*'01_Assumptions'!$J$12*'01_Assumptions'!$J$13</x:f>
        <x:v>3600</x:v>
      </x:c>
      <x:c r="H10" s="140" t="n">
        <x:f>'01_Assumptions'!$J$10*'01_Assumptions'!$J$11*'01_Assumptions'!$J$12*'01_Assumptions'!$J$13</x:f>
        <x:v>3600</x:v>
      </x:c>
      <x:c r="I10" s="287"/>
      <x:c r="J10" s="153" t="str">
        <x:v>IRR</x:v>
      </x:c>
      <x:c r="K10" s="157" t="n">
        <x:f>IFERROR(IRR(C36:H36),"n.m.")</x:f>
        <x:v>0.3522395558208255</x:v>
      </x:c>
      <x:c r="L10" s="55" t="str">
        <x:v>Return versus the hurdle rate</x:v>
      </x:c>
      <x:c r="M10" s="287"/>
    </x:row>
    <x:row r="11">
      <x:c r="A11" s="52" t="str">
        <x:v>Loaded labor cost</x:v>
      </x:c>
      <x:c r="B11" s="52" t="str">
        <x:v>SEK/hour</x:v>
      </x:c>
      <x:c r="C11" s="141" t="n">
        <x:f>0</x:f>
        <x:v>0</x:v>
      </x:c>
      <x:c r="D11" s="141" t="n">
        <x:f>'01_Assumptions'!$J$17*(1+'01_Assumptions'!$J$16)^(D$7-1)</x:f>
        <x:v>450</x:v>
      </x:c>
      <x:c r="E11" s="141" t="n">
        <x:f>'01_Assumptions'!$J$17*(1+'01_Assumptions'!$J$16)^(E$7-1)</x:f>
        <x:v>463.5</x:v>
      </x:c>
      <x:c r="F11" s="141" t="n">
        <x:f>'01_Assumptions'!$J$17*(1+'01_Assumptions'!$J$16)^(F$7-1)</x:f>
        <x:v>477.405</x:v>
      </x:c>
      <x:c r="G11" s="141" t="n">
        <x:f>'01_Assumptions'!$J$17*(1+'01_Assumptions'!$J$16)^(G$7-1)</x:f>
        <x:v>491.72715</x:v>
      </x:c>
      <x:c r="H11" s="141" t="n">
        <x:f>'01_Assumptions'!$J$17*(1+'01_Assumptions'!$J$16)^(H$7-1)</x:f>
        <x:v>506.4789645000001</x:v>
      </x:c>
      <x:c r="I11" s="287"/>
      <x:c r="J11" s="153" t="str">
        <x:v>Payback</x:v>
      </x:c>
      <x:c r="K11" s="158" t="n">
        <x:f>IF(H39&lt;0,"Not reached",IF(D39&gt;=0,ABS(C39)/D36,IF(E39&gt;=0,1+ABS(D39)/E36,IF(F39&gt;=0,2+ABS(E39)/F36,IF(G39&gt;=0,3+ABS(F39)/G36,4+ABS(G39)/H36)))))</x:f>
        <x:v>2.2784548996670804</x:v>
      </x:c>
      <x:c r="L11" s="55" t="str">
        <x:v>Years until cumulative cash flow is positive</x:v>
      </x:c>
      <x:c r="M11" s="287"/>
    </x:row>
    <x:row r="12">
      <x:c r="A12" s="52" t="str">
        <x:v>Gross labor cost addressed</x:v>
      </x:c>
      <x:c r="B12" s="52" t="str">
        <x:v>SEK</x:v>
      </x:c>
      <x:c r="C12" s="142" t="n">
        <x:f>0</x:f>
        <x:v>0</x:v>
      </x:c>
      <x:c r="D12" s="142" t="n">
        <x:f>D10*D11</x:f>
        <x:v>1620000</x:v>
      </x:c>
      <x:c r="E12" s="142" t="n">
        <x:f>E10*E11</x:f>
        <x:v>1668600</x:v>
      </x:c>
      <x:c r="F12" s="142" t="n">
        <x:f>F10*F11</x:f>
        <x:v>1718658</x:v>
      </x:c>
      <x:c r="G12" s="142" t="n">
        <x:f>G10*G11</x:f>
        <x:v>1770217.74</x:v>
      </x:c>
      <x:c r="H12" s="142" t="n">
        <x:f>H10*H11</x:f>
        <x:v>1823324.2722000002</x:v>
      </x:c>
      <x:c r="I12" s="287"/>
      <x:c r="J12" s="153" t="str">
        <x:v>5-year net ROI</x:v>
      </x:c>
      <x:c r="K12" s="157" t="n">
        <x:f>SUM(C36:H36)/ABS(C36)</x:f>
        <x:v>1.318260585438187</x:v>
      </x:c>
      <x:c r="L12" s="55" t="str">
        <x:v>Net five-year cash gain divided by initial capex</x:v>
      </x:c>
      <x:c r="M12" s="287"/>
    </x:row>
    <x:row r="13">
      <x:c r="A13" s="52" t="str">
        <x:v>Realized labor savings</x:v>
      </x:c>
      <x:c r="B13" s="52" t="str">
        <x:v>SEK</x:v>
      </x:c>
      <x:c r="C13" s="142" t="n">
        <x:f>0</x:f>
        <x:v>0</x:v>
      </x:c>
      <x:c r="D13" s="142" t="n">
        <x:f>D12*'01_Assumptions'!$J$14*'01_Assumptions'!$J$15</x:f>
        <x:v>968760</x:v>
      </x:c>
      <x:c r="E13" s="142" t="n">
        <x:f>E12*'01_Assumptions'!$J$14*'01_Assumptions'!$J$15</x:f>
        <x:v>997822.8</x:v>
      </x:c>
      <x:c r="F13" s="142" t="n">
        <x:f>F12*'01_Assumptions'!$J$14*'01_Assumptions'!$J$15</x:f>
        <x:v>1027757.484</x:v>
      </x:c>
      <x:c r="G13" s="142" t="n">
        <x:f>G12*'01_Assumptions'!$J$14*'01_Assumptions'!$J$15</x:f>
        <x:v>1058590.20852</x:v>
      </x:c>
      <x:c r="H13" s="142" t="n">
        <x:f>H12*'01_Assumptions'!$J$14*'01_Assumptions'!$J$15</x:f>
        <x:v>1090347.9147756002</x:v>
      </x:c>
      <x:c r="I13" s="287"/>
      <x:c r="J13" s="153" t="str">
        <x:v>Installed capex</x:v>
      </x:c>
      <x:c r="K13" s="135" t="n">
        <x:f>ABS(C30)</x:f>
        <x:v>1732500</x:v>
      </x:c>
      <x:c r="L13" s="55" t="str">
        <x:v>Total installed investment including contingency</x:v>
      </x:c>
      <x:c r="M13" s="287"/>
    </x:row>
    <x:row r="14">
      <x:c r="A14" s="52" t="str">
        <x:v>Other quantified benefits</x:v>
      </x:c>
      <x:c r="B14" s="52" t="str">
        <x:v>SEK</x:v>
      </x:c>
      <x:c r="C14" s="142" t="n">
        <x:f>0</x:f>
        <x:v>0</x:v>
      </x:c>
      <x:c r="D14" s="142" t="n">
        <x:f>'01_Assumptions'!$J$36*(1+'01_Assumptions'!$J$34)^(D$7-1)</x:f>
        <x:v>0</x:v>
      </x:c>
      <x:c r="E14" s="142" t="n">
        <x:f>'01_Assumptions'!$J$36*(1+'01_Assumptions'!$J$34)^(E$7-1)</x:f>
        <x:v>0</x:v>
      </x:c>
      <x:c r="F14" s="142" t="n">
        <x:f>'01_Assumptions'!$J$36*(1+'01_Assumptions'!$J$34)^(F$7-1)</x:f>
        <x:v>0</x:v>
      </x:c>
      <x:c r="G14" s="142" t="n">
        <x:f>'01_Assumptions'!$J$36*(1+'01_Assumptions'!$J$34)^(G$7-1)</x:f>
        <x:v>0</x:v>
      </x:c>
      <x:c r="H14" s="142" t="n">
        <x:f>'01_Assumptions'!$J$36*(1+'01_Assumptions'!$J$34)^(H$7-1)</x:f>
        <x:v>0</x:v>
      </x:c>
      <x:c r="I14" s="287"/>
      <x:c r="J14" s="153" t="str">
        <x:v>Year 1 labor savings</x:v>
      </x:c>
      <x:c r="K14" s="135" t="n">
        <x:f>D13</x:f>
        <x:v>968760</x:v>
      </x:c>
      <x:c r="L14" s="55" t="str">
        <x:v>Labor benefit after realization and uptime</x:v>
      </x:c>
      <x:c r="M14" s="287"/>
    </x:row>
    <x:row r="15">
      <x:c r="A15" s="113" t="str">
        <x:v>Total cash benefits</x:v>
      </x:c>
      <x:c r="B15" s="113" t="str">
        <x:v>SEK</x:v>
      </x:c>
      <x:c r="C15" s="143" t="n">
        <x:f>0</x:f>
        <x:v>0</x:v>
      </x:c>
      <x:c r="D15" s="143" t="n">
        <x:f>SUM(D13:D14)</x:f>
        <x:v>968760</x:v>
      </x:c>
      <x:c r="E15" s="143" t="n">
        <x:f>SUM(E13:E14)</x:f>
        <x:v>997822.8</x:v>
      </x:c>
      <x:c r="F15" s="143" t="n">
        <x:f>SUM(F13:F14)</x:f>
        <x:v>1027757.484</x:v>
      </x:c>
      <x:c r="G15" s="143" t="n">
        <x:f>SUM(G13:G14)</x:f>
        <x:v>1058590.20852</x:v>
      </x:c>
      <x:c r="H15" s="143" t="n">
        <x:f>SUM(H13:H14)</x:f>
        <x:v>1090347.9147756002</x:v>
      </x:c>
      <x:c r="I15" s="287"/>
      <x:c r="J15" s="153" t="str">
        <x:v>Year 1 after-tax FCF</x:v>
      </x:c>
      <x:c r="K15" s="135" t="n">
        <x:f>D36</x:f>
        <x:v>745830.39</x:v>
      </x:c>
      <x:c r="L15" s="55" t="str">
        <x:v>Cash benefit after opex and tax</x:v>
      </x:c>
      <x:c r="M15" s="287"/>
    </x:row>
    <x:row r="16">
      <x:c r="A16" s="287"/>
      <x:c r="B16" s="287"/>
      <x:c r="C16" s="317"/>
      <x:c r="D16" s="317"/>
      <x:c r="E16" s="317"/>
      <x:c r="F16" s="317"/>
      <x:c r="G16" s="317"/>
      <x:c r="H16" s="317"/>
      <x:c r="I16" s="287"/>
      <x:c r="J16" s="153" t="str">
        <x:v>Payload headroom</x:v>
      </x:c>
      <x:c r="K16" s="159" t="n">
        <x:f>'01_Assumptions'!$J$20-'01_Assumptions'!$J$18-'01_Assumptions'!$J$19</x:f>
        <x:v>3</x:v>
      </x:c>
      <x:c r="L16" s="55" t="str">
        <x:v>Nominal payload remaining after carton and tooling</x:v>
      </x:c>
      <x:c r="M16" s="287"/>
    </x:row>
    <x:row r="17" ht="22" customHeight="1">
      <x:c r="A17" s="13" t="str">
        <x:v>CASH OPERATING COSTS</x:v>
      </x:c>
      <x:c r="B17" s="13" t="str">
        <x:v>CASH OPERATING COSTS</x:v>
      </x:c>
      <x:c r="C17" s="145" t="str">
        <x:v>CASH OPERATING COSTS</x:v>
      </x:c>
      <x:c r="D17" s="145" t="str">
        <x:v>CASH OPERATING COSTS</x:v>
      </x:c>
      <x:c r="E17" s="145" t="str">
        <x:v>CASH OPERATING COSTS</x:v>
      </x:c>
      <x:c r="F17" s="145" t="str">
        <x:v>CASH OPERATING COSTS</x:v>
      </x:c>
      <x:c r="G17" s="145" t="str">
        <x:v>CASH OPERATING COSTS</x:v>
      </x:c>
      <x:c r="H17" s="145" t="str">
        <x:v>CASH OPERATING COSTS</x:v>
      </x:c>
      <x:c r="I17" s="287"/>
      <x:c r="J17" s="153" t="str">
        <x:v>Throughput headroom</x:v>
      </x:c>
      <x:c r="K17" s="157" t="n">
        <x:f>'01_Assumptions'!$J$23/'01_Assumptions'!$J$22-1</x:f>
        <x:v>0.13636363636363646</x:v>
      </x:c>
      <x:c r="L17" s="55" t="str">
        <x:v>Designed rate versus required rate</x:v>
      </x:c>
      <x:c r="M17" s="287"/>
    </x:row>
    <x:row r="18">
      <x:c r="A18" s="51" t="str">
        <x:v>Maintenance</x:v>
      </x:c>
      <x:c r="B18" s="51" t="str">
        <x:v>SEK</x:v>
      </x:c>
      <x:c r="C18" s="140" t="n">
        <x:f>0</x:f>
        <x:v>0</x:v>
      </x:c>
      <x:c r="D18" s="140" t="n">
        <x:f>ABS($C$30)*'01_Assumptions'!$J$31*(1+'01_Assumptions'!$J$34)^(D$7-1)</x:f>
        <x:v>86625</x:v>
      </x:c>
      <x:c r="E18" s="140" t="n">
        <x:f>ABS($C$30)*'01_Assumptions'!$J$31*(1+'01_Assumptions'!$J$34)^(E$7-1)</x:f>
        <x:v>88357.5</x:v>
      </x:c>
      <x:c r="F18" s="140" t="n">
        <x:f>ABS($C$30)*'01_Assumptions'!$J$31*(1+'01_Assumptions'!$J$34)^(F$7-1)</x:f>
        <x:v>90124.65</x:v>
      </x:c>
      <x:c r="G18" s="140" t="n">
        <x:f>ABS($C$30)*'01_Assumptions'!$J$31*(1+'01_Assumptions'!$J$34)^(G$7-1)</x:f>
        <x:v>91927.14300000001</x:v>
      </x:c>
      <x:c r="H18" s="140" t="n">
        <x:f>ABS($C$30)*'01_Assumptions'!$J$31*(1+'01_Assumptions'!$J$34)^(H$7-1)</x:f>
        <x:v>93765.68586</x:v>
      </x:c>
      <x:c r="I18" s="287"/>
      <x:c r="J18" s="154" t="str">
        <x:v>Recommendation</x:v>
      </x:c>
      <x:c r="K18" s="161" t="str">
        <x:f>IF(K9&lt;=0,"RETAIN MANUAL",IF(AND(IFERROR(K10&gt;'01_Assumptions'!$J$7,FALSE),IFERROR(K11&lt;=3,FALSE),K16&gt;=0,K17&gt;=0),"INVEST NOW","RUN PILOT"))</x:f>
        <x:v>INVEST NOW</x:v>
      </x:c>
      <x:c r="L18" s="56" t="str">
        <x:v>Action based on economics and feasibility</x:v>
      </x:c>
      <x:c r="M18" s="287"/>
    </x:row>
    <x:row r="19">
      <x:c r="A19" s="52" t="str">
        <x:v>Software and service</x:v>
      </x:c>
      <x:c r="B19" s="52" t="str">
        <x:v>SEK</x:v>
      </x:c>
      <x:c r="C19" s="142" t="n">
        <x:f>0</x:f>
        <x:v>0</x:v>
      </x:c>
      <x:c r="D19" s="142" t="n">
        <x:f>'01_Assumptions'!$J$32*(1+'01_Assumptions'!$J$34)^(D$7-1)</x:f>
        <x:v>30000</x:v>
      </x:c>
      <x:c r="E19" s="142" t="n">
        <x:f>'01_Assumptions'!$J$32*(1+'01_Assumptions'!$J$34)^(E$7-1)</x:f>
        <x:v>30600</x:v>
      </x:c>
      <x:c r="F19" s="142" t="n">
        <x:f>'01_Assumptions'!$J$32*(1+'01_Assumptions'!$J$34)^(F$7-1)</x:f>
        <x:v>31212</x:v>
      </x:c>
      <x:c r="G19" s="142" t="n">
        <x:f>'01_Assumptions'!$J$32*(1+'01_Assumptions'!$J$34)^(G$7-1)</x:f>
        <x:v>31836.240000000005</x:v>
      </x:c>
      <x:c r="H19" s="142" t="n">
        <x:f>'01_Assumptions'!$J$32*(1+'01_Assumptions'!$J$34)^(H$7-1)</x:f>
        <x:v>32472.964799999998</x:v>
      </x:c>
      <x:c r="I19" s="287"/>
      <x:c r="J19" s="287"/>
      <x:c r="K19" s="287"/>
      <x:c r="L19" s="287"/>
      <x:c r="M19" s="287"/>
    </x:row>
    <x:row r="20" ht="22" customHeight="1">
      <x:c r="A20" s="52" t="str">
        <x:v>Electricity</x:v>
      </x:c>
      <x:c r="B20" s="52" t="str">
        <x:v>SEK</x:v>
      </x:c>
      <x:c r="C20" s="142" t="n">
        <x:f>0</x:f>
        <x:v>0</x:v>
      </x:c>
      <x:c r="D20" s="142" t="n">
        <x:f>'01_Assumptions'!$J$10*'01_Assumptions'!$J$11*'01_Assumptions'!$J$12*'01_Assumptions'!$J$24*'01_Assumptions'!$J$33*(1+'01_Assumptions'!$J$34)^(D$7-1)</x:f>
        <x:v>2700</x:v>
      </x:c>
      <x:c r="E20" s="142" t="n">
        <x:f>'01_Assumptions'!$J$10*'01_Assumptions'!$J$11*'01_Assumptions'!$J$12*'01_Assumptions'!$J$24*'01_Assumptions'!$J$33*(1+'01_Assumptions'!$J$34)^(E$7-1)</x:f>
        <x:v>2754</x:v>
      </x:c>
      <x:c r="F20" s="142" t="n">
        <x:f>'01_Assumptions'!$J$10*'01_Assumptions'!$J$11*'01_Assumptions'!$J$12*'01_Assumptions'!$J$24*'01_Assumptions'!$J$33*(1+'01_Assumptions'!$J$34)^(F$7-1)</x:f>
        <x:v>2809.08</x:v>
      </x:c>
      <x:c r="G20" s="142" t="n">
        <x:f>'01_Assumptions'!$J$10*'01_Assumptions'!$J$11*'01_Assumptions'!$J$12*'01_Assumptions'!$J$24*'01_Assumptions'!$J$33*(1+'01_Assumptions'!$J$34)^(G$7-1)</x:f>
        <x:v>2865.2616000000003</x:v>
      </x:c>
      <x:c r="H20" s="142" t="n">
        <x:f>'01_Assumptions'!$J$10*'01_Assumptions'!$J$11*'01_Assumptions'!$J$12*'01_Assumptions'!$J$24*'01_Assumptions'!$J$33*(1+'01_Assumptions'!$J$34)^(H$7-1)</x:f>
        <x:v>2922.566832</x:v>
      </x:c>
      <x:c r="I20" s="287"/>
      <x:c r="J20" s="13" t="str">
        <x:v>FORMULA NOTES</x:v>
      </x:c>
      <x:c r="K20" s="13" t="str">
        <x:v>FORMULA NOTES</x:v>
      </x:c>
      <x:c r="L20" s="13" t="str">
        <x:v>FORMULA NOTES</x:v>
      </x:c>
      <x:c r="M20" s="13" t="str">
        <x:v>FORMULA NOTES</x:v>
      </x:c>
    </x:row>
    <x:row r="21" ht="70" customHeight="1">
      <x:c r="A21" s="116" t="str">
        <x:v>Total operating costs</x:v>
      </x:c>
      <x:c r="B21" s="116" t="str">
        <x:v>SEK</x:v>
      </x:c>
      <x:c r="C21" s="146" t="n">
        <x:f>0</x:f>
        <x:v>0</x:v>
      </x:c>
      <x:c r="D21" s="146" t="n">
        <x:f>SUM(D18:D20)</x:f>
        <x:v>119325</x:v>
      </x:c>
      <x:c r="E21" s="146" t="n">
        <x:f>SUM(E18:E20)</x:f>
        <x:v>121711.5</x:v>
      </x:c>
      <x:c r="F21" s="146" t="n">
        <x:f>SUM(F18:F20)</x:f>
        <x:v>124145.73</x:v>
      </x:c>
      <x:c r="G21" s="146" t="n">
        <x:f>SUM(G18:G20)</x:f>
        <x:v>126628.64460000001</x:v>
      </x:c>
      <x:c r="H21" s="146" t="n">
        <x:f>SUM(H18:H20)</x:f>
        <x:v>129161.217492</x:v>
      </x:c>
      <x:c r="I21" s="287"/>
      <x:c r="J21" s="162" t="str">
        <x:v>Focus first on D13 (realized labor savings), D36 (after-tax free cash flow), K9 (NPV) and K18 (decision rule). They are the core interview story: operational assumptions → cash flow → investment decision.</x:v>
      </x:c>
      <x:c r="K21" s="162" t="str">
        <x:v>Focus first on D13 (realized labor savings), D36 (after-tax free cash flow), K9 (NPV) and K18 (decision rule). They are the core interview story: operational assumptions → cash flow → investment decision.</x:v>
      </x:c>
      <x:c r="L21" s="162" t="str">
        <x:v>Focus first on D13 (realized labor savings), D36 (after-tax free cash flow), K9 (NPV) and K18 (decision rule). They are the core interview story: operational assumptions → cash flow → investment decision.</x:v>
      </x:c>
      <x:c r="M21" s="162" t="str">
        <x:v>Focus first on D13 (realized labor savings), D36 (after-tax free cash flow), K9 (NPV) and K18 (decision rule). They are the core interview story: operational assumptions → cash flow → investment decision.</x:v>
      </x:c>
    </x:row>
    <x:row r="22">
      <x:c r="A22" s="287"/>
      <x:c r="B22" s="287"/>
      <x:c r="C22" s="317"/>
      <x:c r="D22" s="317"/>
      <x:c r="E22" s="317"/>
      <x:c r="F22" s="317"/>
      <x:c r="G22" s="317"/>
      <x:c r="H22" s="317"/>
      <x:c r="I22" s="287"/>
      <x:c r="J22" s="287"/>
      <x:c r="K22" s="287"/>
      <x:c r="L22" s="287"/>
      <x:c r="M22" s="287"/>
    </x:row>
    <x:row r="23" ht="22" customHeight="1">
      <x:c r="A23" s="13" t="str">
        <x:v>INVESTMENT, TAX AND FREE CASH FLOW</x:v>
      </x:c>
      <x:c r="B23" s="13" t="str">
        <x:v>INVESTMENT, TAX AND FREE CASH FLOW</x:v>
      </x:c>
      <x:c r="C23" s="145" t="str">
        <x:v>INVESTMENT, TAX AND FREE CASH FLOW</x:v>
      </x:c>
      <x:c r="D23" s="145" t="str">
        <x:v>INVESTMENT, TAX AND FREE CASH FLOW</x:v>
      </x:c>
      <x:c r="E23" s="145" t="str">
        <x:v>INVESTMENT, TAX AND FREE CASH FLOW</x:v>
      </x:c>
      <x:c r="F23" s="145" t="str">
        <x:v>INVESTMENT, TAX AND FREE CASH FLOW</x:v>
      </x:c>
      <x:c r="G23" s="145" t="str">
        <x:v>INVESTMENT, TAX AND FREE CASH FLOW</x:v>
      </x:c>
      <x:c r="H23" s="145" t="str">
        <x:v>INVESTMENT, TAX AND FREE CASH FLOW</x:v>
      </x:c>
      <x:c r="I23" s="287"/>
      <x:c r="J23" s="287"/>
      <x:c r="K23" s="287"/>
      <x:c r="L23" s="287"/>
      <x:c r="M23" s="287"/>
    </x:row>
    <x:row r="24">
      <x:c r="A24" s="51" t="str">
        <x:v>Robot and controller</x:v>
      </x:c>
      <x:c r="B24" s="51" t="str">
        <x:v>SEK</x:v>
      </x:c>
      <x:c r="C24" s="140" t="n">
        <x:f>-'01_Assumptions'!$J$25</x:f>
        <x:v>-650000</x:v>
      </x:c>
      <x:c r="D24" s="140" t="n">
        <x:f>0</x:f>
        <x:v>0</x:v>
      </x:c>
      <x:c r="E24" s="140" t="n">
        <x:f>0</x:f>
        <x:v>0</x:v>
      </x:c>
      <x:c r="F24" s="140" t="n">
        <x:f>0</x:f>
        <x:v>0</x:v>
      </x:c>
      <x:c r="G24" s="140" t="n">
        <x:f>0</x:f>
        <x:v>0</x:v>
      </x:c>
      <x:c r="H24" s="140" t="n">
        <x:f>0</x:f>
        <x:v>0</x:v>
      </x:c>
      <x:c r="I24" s="287"/>
      <x:c r="J24" s="287"/>
      <x:c r="K24" s="287"/>
      <x:c r="L24" s="287"/>
      <x:c r="M24" s="287"/>
    </x:row>
    <x:row r="25">
      <x:c r="A25" s="52" t="str">
        <x:v>End-effector and pedestal</x:v>
      </x:c>
      <x:c r="B25" s="52" t="str">
        <x:v>SEK</x:v>
      </x:c>
      <x:c r="C25" s="142" t="n">
        <x:f>-'01_Assumptions'!$J$26</x:f>
        <x:v>-250000</x:v>
      </x:c>
      <x:c r="D25" s="142" t="n">
        <x:f>0</x:f>
        <x:v>0</x:v>
      </x:c>
      <x:c r="E25" s="142" t="n">
        <x:f>0</x:f>
        <x:v>0</x:v>
      </x:c>
      <x:c r="F25" s="142" t="n">
        <x:f>0</x:f>
        <x:v>0</x:v>
      </x:c>
      <x:c r="G25" s="142" t="n">
        <x:f>0</x:f>
        <x:v>0</x:v>
      </x:c>
      <x:c r="H25" s="142" t="n">
        <x:f>0</x:f>
        <x:v>0</x:v>
      </x:c>
      <x:c r="I25" s="287"/>
      <x:c r="J25" s="287"/>
      <x:c r="K25" s="287"/>
      <x:c r="L25" s="287"/>
      <x:c r="M25" s="287"/>
    </x:row>
    <x:row r="26">
      <x:c r="A26" s="52" t="str">
        <x:v>Safety and conveyor integration</x:v>
      </x:c>
      <x:c r="B26" s="52" t="str">
        <x:v>SEK</x:v>
      </x:c>
      <x:c r="C26" s="142" t="n">
        <x:f>-'01_Assumptions'!$J$27</x:f>
        <x:v>-200000</x:v>
      </x:c>
      <x:c r="D26" s="142" t="n">
        <x:f>0</x:f>
        <x:v>0</x:v>
      </x:c>
      <x:c r="E26" s="142" t="n">
        <x:f>0</x:f>
        <x:v>0</x:v>
      </x:c>
      <x:c r="F26" s="142" t="n">
        <x:f>0</x:f>
        <x:v>0</x:v>
      </x:c>
      <x:c r="G26" s="142" t="n">
        <x:f>0</x:f>
        <x:v>0</x:v>
      </x:c>
      <x:c r="H26" s="142" t="n">
        <x:f>0</x:f>
        <x:v>0</x:v>
      </x:c>
      <x:c r="I26" s="287"/>
      <x:c r="J26" s="287"/>
      <x:c r="K26" s="287"/>
      <x:c r="L26" s="287"/>
      <x:c r="M26" s="287"/>
    </x:row>
    <x:row r="27">
      <x:c r="A27" s="52" t="str">
        <x:v>Systems integration and commissioning</x:v>
      </x:c>
      <x:c r="B27" s="52" t="str">
        <x:v>SEK</x:v>
      </x:c>
      <x:c r="C27" s="142" t="n">
        <x:f>-'01_Assumptions'!$J$28</x:f>
        <x:v>-400000</x:v>
      </x:c>
      <x:c r="D27" s="142" t="n">
        <x:f>0</x:f>
        <x:v>0</x:v>
      </x:c>
      <x:c r="E27" s="142" t="n">
        <x:f>0</x:f>
        <x:v>0</x:v>
      </x:c>
      <x:c r="F27" s="142" t="n">
        <x:f>0</x:f>
        <x:v>0</x:v>
      </x:c>
      <x:c r="G27" s="142" t="n">
        <x:f>0</x:f>
        <x:v>0</x:v>
      </x:c>
      <x:c r="H27" s="142" t="n">
        <x:f>0</x:f>
        <x:v>0</x:v>
      </x:c>
      <x:c r="I27" s="287"/>
      <x:c r="J27" s="287"/>
      <x:c r="K27" s="287"/>
      <x:c r="L27" s="287"/>
      <x:c r="M27" s="287"/>
    </x:row>
    <x:row r="28">
      <x:c r="A28" s="52" t="str">
        <x:v>Training and change management</x:v>
      </x:c>
      <x:c r="B28" s="52" t="str">
        <x:v>SEK</x:v>
      </x:c>
      <x:c r="C28" s="142" t="n">
        <x:f>-'01_Assumptions'!$J$29</x:f>
        <x:v>-75000</x:v>
      </x:c>
      <x:c r="D28" s="142" t="n">
        <x:f>0</x:f>
        <x:v>0</x:v>
      </x:c>
      <x:c r="E28" s="142" t="n">
        <x:f>0</x:f>
        <x:v>0</x:v>
      </x:c>
      <x:c r="F28" s="142" t="n">
        <x:f>0</x:f>
        <x:v>0</x:v>
      </x:c>
      <x:c r="G28" s="142" t="n">
        <x:f>0</x:f>
        <x:v>0</x:v>
      </x:c>
      <x:c r="H28" s="142" t="n">
        <x:f>0</x:f>
        <x:v>0</x:v>
      </x:c>
      <x:c r="I28" s="287"/>
      <x:c r="J28" s="287"/>
      <x:c r="K28" s="287"/>
      <x:c r="L28" s="287"/>
      <x:c r="M28" s="287"/>
    </x:row>
    <x:row r="29">
      <x:c r="A29" s="52" t="str">
        <x:v>Contingency</x:v>
      </x:c>
      <x:c r="B29" s="52" t="str">
        <x:v>SEK</x:v>
      </x:c>
      <x:c r="C29" s="142" t="n">
        <x:f>-ABS(SUM(C24:C28))*'01_Assumptions'!$J$30</x:f>
        <x:v>-157500</x:v>
      </x:c>
      <x:c r="D29" s="142" t="n">
        <x:f>0</x:f>
        <x:v>0</x:v>
      </x:c>
      <x:c r="E29" s="142" t="n">
        <x:f>0</x:f>
        <x:v>0</x:v>
      </x:c>
      <x:c r="F29" s="142" t="n">
        <x:f>0</x:f>
        <x:v>0</x:v>
      </x:c>
      <x:c r="G29" s="142" t="n">
        <x:f>0</x:f>
        <x:v>0</x:v>
      </x:c>
      <x:c r="H29" s="142" t="n">
        <x:f>0</x:f>
        <x:v>0</x:v>
      </x:c>
      <x:c r="I29" s="287"/>
      <x:c r="J29" s="287"/>
      <x:c r="K29" s="287"/>
      <x:c r="L29" s="287"/>
      <x:c r="M29" s="287"/>
    </x:row>
    <x:row r="30">
      <x:c r="A30" s="119" t="str">
        <x:v>Total installed capex</x:v>
      </x:c>
      <x:c r="B30" s="119" t="str">
        <x:v>SEK</x:v>
      </x:c>
      <x:c r="C30" s="147" t="n">
        <x:f>SUM(C24:C29)</x:f>
        <x:v>-1732500</x:v>
      </x:c>
      <x:c r="D30" s="147" t="n">
        <x:f>0</x:f>
        <x:v>0</x:v>
      </x:c>
      <x:c r="E30" s="147" t="n">
        <x:f>0</x:f>
        <x:v>0</x:v>
      </x:c>
      <x:c r="F30" s="147" t="n">
        <x:f>0</x:f>
        <x:v>0</x:v>
      </x:c>
      <x:c r="G30" s="147" t="n">
        <x:f>0</x:f>
        <x:v>0</x:v>
      </x:c>
      <x:c r="H30" s="147" t="n">
        <x:f>0</x:f>
        <x:v>0</x:v>
      </x:c>
      <x:c r="I30" s="287"/>
      <x:c r="J30" s="287"/>
      <x:c r="K30" s="287"/>
      <x:c r="L30" s="287"/>
      <x:c r="M30" s="287"/>
    </x:row>
    <x:row r="31">
      <x:c r="A31" s="52" t="str">
        <x:v>Depreciation</x:v>
      </x:c>
      <x:c r="B31" s="52" t="str">
        <x:v>SEK</x:v>
      </x:c>
      <x:c r="C31" s="142" t="n">
        <x:f>0</x:f>
        <x:v>0</x:v>
      </x:c>
      <x:c r="D31" s="142" t="n">
        <x:f>ABS($C$30)/'01_Assumptions'!$J$9</x:f>
        <x:v>346500</x:v>
      </x:c>
      <x:c r="E31" s="142" t="n">
        <x:f>ABS($C$30)/'01_Assumptions'!$J$9</x:f>
        <x:v>346500</x:v>
      </x:c>
      <x:c r="F31" s="142" t="n">
        <x:f>ABS($C$30)/'01_Assumptions'!$J$9</x:f>
        <x:v>346500</x:v>
      </x:c>
      <x:c r="G31" s="142" t="n">
        <x:f>ABS($C$30)/'01_Assumptions'!$J$9</x:f>
        <x:v>346500</x:v>
      </x:c>
      <x:c r="H31" s="142" t="n">
        <x:f>ABS($C$30)/'01_Assumptions'!$J$9</x:f>
        <x:v>346500</x:v>
      </x:c>
      <x:c r="I31" s="287"/>
      <x:c r="J31" s="287"/>
      <x:c r="K31" s="287"/>
      <x:c r="L31" s="287"/>
      <x:c r="M31" s="287"/>
    </x:row>
    <x:row r="32">
      <x:c r="A32" s="52" t="str">
        <x:v>Incremental EBITDA</x:v>
      </x:c>
      <x:c r="B32" s="52" t="str">
        <x:v>SEK</x:v>
      </x:c>
      <x:c r="C32" s="142" t="n">
        <x:f>0</x:f>
        <x:v>0</x:v>
      </x:c>
      <x:c r="D32" s="142" t="n">
        <x:f>D15-D21</x:f>
        <x:v>849435</x:v>
      </x:c>
      <x:c r="E32" s="142" t="n">
        <x:f>E15-E21</x:f>
        <x:v>876111.3</x:v>
      </x:c>
      <x:c r="F32" s="142" t="n">
        <x:f>F15-F21</x:f>
        <x:v>903611.7540000001</x:v>
      </x:c>
      <x:c r="G32" s="142" t="n">
        <x:f>G15-G21</x:f>
        <x:v>931961.5639200001</x:v>
      </x:c>
      <x:c r="H32" s="142" t="n">
        <x:f>H15-H21</x:f>
        <x:v>961186.6972836002</x:v>
      </x:c>
      <x:c r="I32" s="287"/>
      <x:c r="J32" s="287"/>
      <x:c r="K32" s="287"/>
      <x:c r="L32" s="287"/>
      <x:c r="M32" s="287"/>
    </x:row>
    <x:row r="33">
      <x:c r="A33" s="52" t="str">
        <x:v>Incremental EBIT</x:v>
      </x:c>
      <x:c r="B33" s="52" t="str">
        <x:v>SEK</x:v>
      </x:c>
      <x:c r="C33" s="142" t="n">
        <x:f>0</x:f>
        <x:v>0</x:v>
      </x:c>
      <x:c r="D33" s="142" t="n">
        <x:f>D32-D31</x:f>
        <x:v>502935</x:v>
      </x:c>
      <x:c r="E33" s="142" t="n">
        <x:f>E32-E31</x:f>
        <x:v>529611.3</x:v>
      </x:c>
      <x:c r="F33" s="142" t="n">
        <x:f>F32-F31</x:f>
        <x:v>557111.7540000001</x:v>
      </x:c>
      <x:c r="G33" s="142" t="n">
        <x:f>G32-G31</x:f>
        <x:v>585461.5639200001</x:v>
      </x:c>
      <x:c r="H33" s="142" t="n">
        <x:f>H32-H31</x:f>
        <x:v>614686.6972836002</x:v>
      </x:c>
      <x:c r="I33" s="287"/>
      <x:c r="J33" s="287"/>
      <x:c r="K33" s="287"/>
      <x:c r="L33" s="287"/>
      <x:c r="M33" s="287"/>
    </x:row>
    <x:row r="34">
      <x:c r="A34" s="52" t="str">
        <x:v>Cash tax</x:v>
      </x:c>
      <x:c r="B34" s="52" t="str">
        <x:v>SEK</x:v>
      </x:c>
      <x:c r="C34" s="142" t="n">
        <x:f>0</x:f>
        <x:v>0</x:v>
      </x:c>
      <x:c r="D34" s="142" t="n">
        <x:f>MAX(0,D33*'01_Assumptions'!$J$8)</x:f>
        <x:v>103604.61</x:v>
      </x:c>
      <x:c r="E34" s="142" t="n">
        <x:f>MAX(0,E33*'01_Assumptions'!$J$8)</x:f>
        <x:v>109099.9278</x:v>
      </x:c>
      <x:c r="F34" s="142" t="n">
        <x:f>MAX(0,F33*'01_Assumptions'!$J$8)</x:f>
        <x:v>114765.02132400002</x:v>
      </x:c>
      <x:c r="G34" s="142" t="n">
        <x:f>MAX(0,G33*'01_Assumptions'!$J$8)</x:f>
        <x:v>120605.08216752001</x:v>
      </x:c>
      <x:c r="H34" s="142" t="n">
        <x:f>MAX(0,H33*'01_Assumptions'!$J$8)</x:f>
        <x:v>126625.45964042164</x:v>
      </x:c>
      <x:c r="I34" s="287"/>
      <x:c r="J34" s="287"/>
      <x:c r="K34" s="287"/>
      <x:c r="L34" s="287"/>
      <x:c r="M34" s="287"/>
    </x:row>
    <x:row r="35">
      <x:c r="A35" s="52" t="str">
        <x:v>Salvage proceeds after tax</x:v>
      </x:c>
      <x:c r="B35" s="52" t="str">
        <x:v>SEK</x:v>
      </x:c>
      <x:c r="C35" s="142" t="n">
        <x:f>0</x:f>
        <x:v>0</x:v>
      </x:c>
      <x:c r="D35" s="142" t="n">
        <x:f>IF(D$7='01_Assumptions'!$J$6,ABS($C$30)*'01_Assumptions'!$J$35*(1-'01_Assumptions'!$J$8),0)</x:f>
        <x:v>0</x:v>
      </x:c>
      <x:c r="E35" s="142" t="n">
        <x:f>IF(E$7='01_Assumptions'!$J$6,ABS($C$30)*'01_Assumptions'!$J$35*(1-'01_Assumptions'!$J$8),0)</x:f>
        <x:v>0</x:v>
      </x:c>
      <x:c r="F35" s="142" t="n">
        <x:f>IF(F$7='01_Assumptions'!$J$6,ABS($C$30)*'01_Assumptions'!$J$35*(1-'01_Assumptions'!$J$8),0)</x:f>
        <x:v>0</x:v>
      </x:c>
      <x:c r="G35" s="142" t="n">
        <x:f>IF(G$7='01_Assumptions'!$J$6,ABS($C$30)*'01_Assumptions'!$J$35*(1-'01_Assumptions'!$J$8),0)</x:f>
        <x:v>0</x:v>
      </x:c>
      <x:c r="H35" s="142" t="n">
        <x:f>IF(H$7='01_Assumptions'!$J$6,ABS($C$30)*'01_Assumptions'!$J$35*(1-'01_Assumptions'!$J$8),0)</x:f>
        <x:v>68780.25</x:v>
      </x:c>
      <x:c r="I35" s="287"/>
      <x:c r="J35" s="287"/>
      <x:c r="K35" s="287"/>
      <x:c r="L35" s="287"/>
      <x:c r="M35" s="287"/>
    </x:row>
    <x:row r="36">
      <x:c r="A36" s="122" t="str">
        <x:v>After-tax free cash flow</x:v>
      </x:c>
      <x:c r="B36" s="122" t="str">
        <x:v>SEK</x:v>
      </x:c>
      <x:c r="C36" s="148" t="n">
        <x:f>C30</x:f>
        <x:v>-1732500</x:v>
      </x:c>
      <x:c r="D36" s="148" t="n">
        <x:f>D32-D34+D35</x:f>
        <x:v>745830.39</x:v>
      </x:c>
      <x:c r="E36" s="148" t="n">
        <x:f>E32-E34+E35</x:f>
        <x:v>767011.3722000001</x:v>
      </x:c>
      <x:c r="F36" s="148" t="n">
        <x:f>F32-F34+F35</x:f>
        <x:v>788846.7326760001</x:v>
      </x:c>
      <x:c r="G36" s="148" t="n">
        <x:f>G32-G34+G35</x:f>
        <x:v>811356.4817524801</x:v>
      </x:c>
      <x:c r="H36" s="148" t="n">
        <x:f>H32-H34+H35</x:f>
        <x:v>903341.4876431786</x:v>
      </x:c>
      <x:c r="I36" s="287"/>
      <x:c r="J36" s="287"/>
      <x:c r="K36" s="287"/>
      <x:c r="L36" s="287"/>
      <x:c r="M36" s="287"/>
    </x:row>
    <x:row r="37">
      <x:c r="A37" s="52" t="str">
        <x:v>Discount factor</x:v>
      </x:c>
      <x:c r="B37" s="52" t="str">
        <x:v>x</x:v>
      </x:c>
      <x:c r="C37" s="149" t="n">
        <x:f>1</x:f>
        <x:v>1</x:v>
      </x:c>
      <x:c r="D37" s="149" t="n">
        <x:f>1/(1+'01_Assumptions'!$J$7)^D$7</x:f>
        <x:v>0.9259259259259258</x:v>
      </x:c>
      <x:c r="E37" s="149" t="n">
        <x:f>1/(1+'01_Assumptions'!$J$7)^E$7</x:f>
        <x:v>0.8573388203017832</x:v>
      </x:c>
      <x:c r="F37" s="149" t="n">
        <x:f>1/(1+'01_Assumptions'!$J$7)^F$7</x:f>
        <x:v>0.7938322410201696</x:v>
      </x:c>
      <x:c r="G37" s="149" t="n">
        <x:f>1/(1+'01_Assumptions'!$J$7)^G$7</x:f>
        <x:v>0.7350298527964533</x:v>
      </x:c>
      <x:c r="H37" s="149" t="n">
        <x:f>1/(1+'01_Assumptions'!$J$7)^H$7</x:f>
        <x:v>0.6805831970337529</x:v>
      </x:c>
      <x:c r="I37" s="287"/>
      <x:c r="J37" s="287"/>
      <x:c r="K37" s="287"/>
      <x:c r="L37" s="287"/>
      <x:c r="M37" s="287"/>
    </x:row>
    <x:row r="38">
      <x:c r="A38" s="123" t="str">
        <x:v>Present value</x:v>
      </x:c>
      <x:c r="B38" s="123" t="str">
        <x:v>SEK</x:v>
      </x:c>
      <x:c r="C38" s="150" t="n">
        <x:f>C36*C37</x:f>
        <x:v>-1732500</x:v>
      </x:c>
      <x:c r="D38" s="150" t="n">
        <x:f>D36*D37</x:f>
        <x:v>690583.6944444444</x:v>
      </x:c>
      <x:c r="E38" s="150" t="n">
        <x:f>E36*E37</x:f>
        <x:v>657588.625</x:v>
      </x:c>
      <x:c r="F38" s="150" t="n">
        <x:f>F36*F37</x:f>
        <x:v>626211.9696216278</x:v>
      </x:c>
      <x:c r="G38" s="150" t="n">
        <x:f>G36*G37</x:f>
        <x:v>596371.2353479738</x:v>
      </x:c>
      <x:c r="H38" s="150" t="n">
        <x:f>H36*H37</x:f>
        <x:v>614799.0376734209</x:v>
      </x:c>
      <x:c r="I38" s="287"/>
      <x:c r="J38" s="287"/>
      <x:c r="K38" s="287"/>
      <x:c r="L38" s="287"/>
      <x:c r="M38" s="287"/>
    </x:row>
    <x:row r="39">
      <x:c r="A39" s="123" t="str">
        <x:v>Cumulative cash flow</x:v>
      </x:c>
      <x:c r="B39" s="123" t="str">
        <x:v>SEK</x:v>
      </x:c>
      <x:c r="C39" s="150" t="n">
        <x:f>C36</x:f>
        <x:v>-1732500</x:v>
      </x:c>
      <x:c r="D39" s="150" t="n">
        <x:f>C39+D36</x:f>
        <x:v>-986669.61</x:v>
      </x:c>
      <x:c r="E39" s="150" t="n">
        <x:f>D39+E36</x:f>
        <x:v>-219658.2377999999</x:v>
      </x:c>
      <x:c r="F39" s="150" t="n">
        <x:f>E39+F36</x:f>
        <x:v>569188.4948760002</x:v>
      </x:c>
      <x:c r="G39" s="150" t="n">
        <x:f>F39+G36</x:f>
        <x:v>1380544.9766284805</x:v>
      </x:c>
      <x:c r="H39" s="150" t="n">
        <x:f>G39+H36</x:f>
        <x:v>2283886.464271659</x:v>
      </x:c>
      <x:c r="I39" s="287"/>
      <x:c r="J39" s="287"/>
      <x:c r="K39" s="287"/>
      <x:c r="L39" s="287"/>
      <x:c r="M39" s="287"/>
    </x:row>
    <x:row r="40">
      <x:c r="A40" s="124" t="str">
        <x:v>Cumulative present value</x:v>
      </x:c>
      <x:c r="B40" s="124" t="str">
        <x:v>SEK</x:v>
      </x:c>
      <x:c r="C40" s="151" t="n">
        <x:f>C38</x:f>
        <x:v>-1732500</x:v>
      </x:c>
      <x:c r="D40" s="151" t="n">
        <x:f>C40+D38</x:f>
        <x:v>-1041916.3055555556</x:v>
      </x:c>
      <x:c r="E40" s="151" t="n">
        <x:f>D40+E38</x:f>
        <x:v>-384327.6805555556</x:v>
      </x:c>
      <x:c r="F40" s="151" t="n">
        <x:f>E40+F38</x:f>
        <x:v>241884.2890660722</x:v>
      </x:c>
      <x:c r="G40" s="151" t="n">
        <x:f>F40+G38</x:f>
        <x:v>838255.524414046</x:v>
      </x:c>
      <x:c r="H40" s="151" t="n">
        <x:f>G40+H38</x:f>
        <x:v>1453054.562087467</x:v>
      </x:c>
      <x:c r="I40" s="287"/>
      <x:c r="J40" s="287"/>
      <x:c r="K40" s="287"/>
      <x:c r="L40" s="287"/>
      <x:c r="M40" s="287"/>
    </x:row>
  </x:sheetData>
  <x:mergeCells>
    <x:mergeCell ref="A1:M1"/>
    <x:mergeCell ref="A2:M2"/>
    <x:mergeCell ref="A9:H9"/>
    <x:mergeCell ref="A17:H17"/>
    <x:mergeCell ref="A23:H23"/>
    <x:mergeCell ref="J7:M7"/>
    <x:mergeCell ref="J20:M20"/>
    <x:mergeCell ref="J21:M21"/>
  </x:mergeCells>
  <x:conditionalFormatting sqref="K18:K18">
    <x:cfRule type="containsText" dxfId="0" priority="1" operator="containsText" text="INVEST"/>
    <x:cfRule type="containsText" dxfId="1" priority="2" operator="containsText" text="PILOT"/>
    <x:cfRule type="containsText" dxfId="2" priority="3" operator="containsText" text="RETAIN"/>
  </x:conditionalFormatting>
  <x:pageMargins left="0.7" right="0.7" top="0.75" bottom="0.75" header="0.3" footer="0.3"/>
  <x:legacyDrawing xmlns:r="http://schemas.openxmlformats.org/officeDocument/2006/relationships" r:id="Ra1e0f199692a40ce"/>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7" hidden="0" customWidth="1"/>
    <x:col min="4" max="4" width="18" hidden="0" customWidth="1"/>
    <x:col min="5" max="5" width="15" hidden="0" customWidth="1"/>
    <x:col min="6" max="6" width="16" hidden="0" customWidth="1"/>
    <x:col min="7" max="7" width="16" hidden="0" customWidth="1"/>
    <x:col min="8" max="8" width="17" hidden="0" customWidth="1"/>
    <x:col min="9" max="9" width="20" hidden="0" customWidth="1"/>
    <x:col min="10" max="10" width="20" hidden="0" customWidth="1"/>
  </x:cols>
  <x:sheetData>
    <x:row r="1" ht="32" customHeight="1">
      <x:c r="A1" s="4" t="str">
        <x:v>03 | Scenario Comparison</x:v>
      </x:c>
      <x:c r="B1" s="4" t="str">
        <x:v>03 | Scenario Comparison</x:v>
      </x:c>
      <x:c r="C1" s="4" t="str">
        <x:v>03 | Scenario Comparison</x:v>
      </x:c>
      <x:c r="D1" s="4" t="str">
        <x:v>03 | Scenario Comparison</x:v>
      </x:c>
      <x:c r="E1" s="4" t="str">
        <x:v>03 | Scenario Comparison</x:v>
      </x:c>
      <x:c r="F1" s="4" t="str">
        <x:v>03 | Scenario Comparison</x:v>
      </x:c>
      <x:c r="G1" s="4" t="str">
        <x:v>03 | Scenario Comparison</x:v>
      </x:c>
      <x:c r="H1" s="4" t="str">
        <x:v>03 | Scenario Comparison</x:v>
      </x:c>
      <x:c r="I1" s="4" t="str">
        <x:v>03 | Scenario Comparison</x:v>
      </x:c>
      <x:c r="J1" s="4" t="str">
        <x:v>03 | Scenario Comparison</x:v>
      </x:c>
    </x:row>
    <x:row r="2" ht="28" customHeight="1">
      <x:c r="A2" s="9" t="str">
        <x:v>The three cases are recalculated independently — not pasted outputs — so the comparison remains auditable.</x:v>
      </x:c>
      <x:c r="B2" s="9" t="str">
        <x:v>The three cases are recalculated independently — not pasted outputs — so the comparison remains auditable.</x:v>
      </x:c>
      <x:c r="C2" s="9" t="str">
        <x:v>The three cases are recalculated independently — not pasted outputs — so the comparison remains auditable.</x:v>
      </x:c>
      <x:c r="D2" s="9" t="str">
        <x:v>The three cases are recalculated independently — not pasted outputs — so the comparison remains auditable.</x:v>
      </x:c>
      <x:c r="E2" s="9" t="str">
        <x:v>The three cases are recalculated independently — not pasted outputs — so the comparison remains auditable.</x:v>
      </x:c>
      <x:c r="F2" s="9" t="str">
        <x:v>The three cases are recalculated independently — not pasted outputs — so the comparison remains auditable.</x:v>
      </x:c>
      <x:c r="G2" s="9" t="str">
        <x:v>The three cases are recalculated independently — not pasted outputs — so the comparison remains auditable.</x:v>
      </x:c>
      <x:c r="H2" s="9" t="str">
        <x:v>The three cases are recalculated independently — not pasted outputs — so the comparison remains auditable.</x:v>
      </x:c>
      <x:c r="I2" s="9" t="str">
        <x:v>The three cases are recalculated independently — not pasted outputs — so the comparison remains auditable.</x:v>
      </x:c>
      <x:c r="J2" s="9" t="str">
        <x:v>The three cases are recalculated independently — not pasted outputs — so the comparison remains auditable.</x:v>
      </x:c>
    </x:row>
    <x:row r="3">
      <x:c r="A3" s="287"/>
      <x:c r="B3" s="287"/>
      <x:c r="C3" s="287"/>
      <x:c r="D3" s="287"/>
      <x:c r="E3" s="287"/>
      <x:c r="F3" s="287"/>
      <x:c r="G3" s="287"/>
      <x:c r="H3" s="287"/>
      <x:c r="I3" s="287"/>
      <x:c r="J3" s="287"/>
    </x:row>
    <x:row r="4" ht="28" customHeight="1">
      <x:c r="A4" s="46" t="str">
        <x:v>Scenario</x:v>
      </x:c>
      <x:c r="B4" s="46" t="str">
        <x:v>Installed capex</x:v>
      </x:c>
      <x:c r="C4" s="46" t="str">
        <x:v>Year 1 FCF</x:v>
      </x:c>
      <x:c r="D4" s="46" t="str">
        <x:v>NPV</x:v>
      </x:c>
      <x:c r="E4" s="46" t="str">
        <x:v>IRR</x:v>
      </x:c>
      <x:c r="F4" s="46" t="str">
        <x:v>Payback</x:v>
      </x:c>
      <x:c r="G4" s="46" t="str">
        <x:v>5-year ROI</x:v>
      </x:c>
      <x:c r="H4" s="46" t="str">
        <x:v>Payload headroom</x:v>
      </x:c>
      <x:c r="I4" s="46" t="str">
        <x:v>Throughput headroom</x:v>
      </x:c>
      <x:c r="J4" s="46" t="str">
        <x:v>Decision</x:v>
      </x:c>
    </x:row>
    <x:row r="5" ht="28" customHeight="1">
      <x:c r="A5" s="152" t="str">
        <x:v>Downside</x:v>
      </x:c>
      <x:c r="B5" s="125" t="n">
        <x:f>ABS(C13)</x:f>
        <x:v>2185000</x:v>
      </x:c>
      <x:c r="C5" s="125" t="n">
        <x:f>D27</x:f>
        <x:v>41283.49999999997</x:v>
      </x:c>
      <x:c r="D5" s="125" t="n">
        <x:f>SUM(C29:H29)</x:f>
        <x:v>-2037144.2995963017</x:v>
      </x:c>
      <x:c r="E5" s="166" t="n">
        <x:f>IFERROR(IRR(C27:H27),"n.m.")</x:f>
        <x:v>-0.4933259391278905</x:v>
      </x:c>
      <x:c r="F5" s="169" t="str">
        <x:f>IF(H30&lt;0,"Not reached",IF(D30&gt;=0,ABS(C30)/D27,IF(E30&gt;=0,1+ABS(D30)/E27,IF(F30&gt;=0,2+ABS(E30)/F27,IF(G30&gt;=0,3+ABS(F30)/G27,4+ABS(G30)/H27)))))</x:f>
        <x:v>Not reached</x:v>
      </x:c>
      <x:c r="G5" s="166" t="n">
        <x:f>SUM(C27:H27)/ABS(C27)</x:f>
        <x:v>-0.9113126198634507</x:v>
      </x:c>
      <x:c r="H5" s="172" t="n">
        <x:f>'01_Assumptions'!$D$20-'01_Assumptions'!$D$18-'01_Assumptions'!$D$19</x:f>
        <x:v>3</x:v>
      </x:c>
      <x:c r="I5" s="166" t="n">
        <x:f>'01_Assumptions'!$D$23/'01_Assumptions'!$D$22-1</x:f>
        <x:v>0.045454545454545414</x:v>
      </x:c>
      <x:c r="J5" s="51" t="str">
        <x:f>IF(D5&lt;=0,"RETAIN MANUAL",IF(AND(IFERROR(E5&gt;'01_Assumptions'!$D$7,FALSE),IFERROR(F5&lt;=3,FALSE),H5&gt;=0,I5&gt;=0),"INVEST NOW","RUN PILOT"))</x:f>
        <x:v>RETAIN MANUAL</x:v>
      </x:c>
    </x:row>
    <x:row r="6" ht="28" customHeight="1">
      <x:c r="A6" s="164" t="str">
        <x:v>Base Case</x:v>
      </x:c>
      <x:c r="B6" s="165" t="n">
        <x:f>ABS(C36)</x:f>
        <x:v>1732500.0000000002</x:v>
      </x:c>
      <x:c r="C6" s="165" t="n">
        <x:f>D50</x:f>
        <x:v>745830.39</x:v>
      </x:c>
      <x:c r="D6" s="165" t="n">
        <x:f>SUM(C52:H52)</x:f>
        <x:v>1453054.5620874665</x:v>
      </x:c>
      <x:c r="E6" s="167" t="n">
        <x:f>IFERROR(IRR(C50:H50),"n.m.")</x:f>
        <x:v>0.3522395558208281</x:v>
      </x:c>
      <x:c r="F6" s="170" t="n">
        <x:f>IF(H53&lt;0,"Not reached",IF(D53&gt;=0,ABS(C53)/D50,IF(E53&gt;=0,1+ABS(D53)/E50,IF(F53&gt;=0,2+ABS(E53)/F50,IF(G53&gt;=0,3+ABS(F53)/G50,4+ABS(G53)/H50)))))</x:f>
        <x:v>2.278454899667081</x:v>
      </x:c>
      <x:c r="G6" s="167" t="n">
        <x:f>SUM(C50:H50)/ABS(C50)</x:f>
        <x:v>1.3182605854381866</x:v>
      </x:c>
      <x:c r="H6" s="173" t="n">
        <x:f>'01_Assumptions'!$E$20-'01_Assumptions'!$E$18-'01_Assumptions'!$E$19</x:f>
        <x:v>3</x:v>
      </x:c>
      <x:c r="I6" s="167" t="n">
        <x:f>'01_Assumptions'!$E$23/'01_Assumptions'!$E$22-1</x:f>
        <x:v>0.13636363636363646</x:v>
      </x:c>
      <x:c r="J6" s="75" t="str">
        <x:f>IF(D6&lt;=0,"RETAIN MANUAL",IF(AND(IFERROR(E6&gt;'01_Assumptions'!$E$7,FALSE),IFERROR(F6&lt;=3,FALSE),H6&gt;=0,I6&gt;=0),"INVEST NOW","RUN PILOT"))</x:f>
        <x:v>INVEST NOW</x:v>
      </x:c>
    </x:row>
    <x:row r="7" ht="28" customHeight="1">
      <x:c r="A7" s="154" t="str">
        <x:v>Upside</x:v>
      </x:c>
      <x:c r="B7" s="163" t="n">
        <x:f>ABS(C59)</x:f>
        <x:v>1396500</x:v>
      </x:c>
      <x:c r="C7" s="163" t="n">
        <x:f>D73</x:f>
        <x:v>1904166.611</x:v>
      </x:c>
      <x:c r="D7" s="163" t="n">
        <x:f>SUM(C75:H75)</x:f>
        <x:v>7332077.955573709</x:v>
      </x:c>
      <x:c r="E7" s="168" t="n">
        <x:f>IFERROR(IRR(C73:H73),"n.m.")</x:f>
        <x:v>1.3831288827891353</x:v>
      </x:c>
      <x:c r="F7" s="171" t="n">
        <x:f>IF(H76&lt;0,"Not reached",IF(D76&gt;=0,ABS(C76)/D73,IF(E76&gt;=0,1+ABS(D76)/E73,IF(F76&gt;=0,2+ABS(E76)/F73,IF(G76&gt;=0,3+ABS(F76)/G73,4+ABS(G76)/H73)))))</x:f>
        <x:v>0.7333917063416043</x:v>
      </x:c>
      <x:c r="G7" s="168" t="n">
        <x:f>SUM(C73:H73)/ABS(C73)</x:f>
        <x:v>6.4614646942693215</x:v>
      </x:c>
      <x:c r="H7" s="174" t="n">
        <x:f>'01_Assumptions'!$F$20-'01_Assumptions'!$F$18-'01_Assumptions'!$F$19</x:f>
        <x:v>3</x:v>
      </x:c>
      <x:c r="I7" s="168" t="n">
        <x:f>'01_Assumptions'!$F$23/'01_Assumptions'!$F$22-1</x:f>
        <x:v>0.2727272727272727</x:v>
      </x:c>
      <x:c r="J7" s="53" t="str">
        <x:f>IF(D7&lt;=0,"RETAIN MANUAL",IF(AND(IFERROR(E7&gt;'01_Assumptions'!$F$7,FALSE),IFERROR(F7&lt;=3,FALSE),H7&gt;=0,I7&gt;=0),"INVEST NOW","RUN PILOT"))</x:f>
        <x:v>INVEST NOW</x:v>
      </x:c>
    </x:row>
    <x:row r="8">
      <x:c r="A8" s="287"/>
      <x:c r="B8" s="287"/>
      <x:c r="C8" s="287"/>
      <x:c r="D8" s="287"/>
      <x:c r="E8" s="287"/>
      <x:c r="F8" s="287"/>
      <x:c r="G8" s="287"/>
      <x:c r="H8" s="287"/>
      <x:c r="I8" s="287"/>
      <x:c r="J8" s="287"/>
    </x:row>
    <x:row r="9">
      <x:c r="A9" s="287"/>
      <x:c r="B9" s="287"/>
      <x:c r="C9" s="287"/>
      <x:c r="D9" s="287"/>
      <x:c r="E9" s="287"/>
      <x:c r="F9" s="287"/>
      <x:c r="G9" s="287"/>
      <x:c r="H9" s="287"/>
      <x:c r="I9" s="287"/>
      <x:c r="J9" s="287"/>
    </x:row>
    <x:row r="10">
      <x:c r="A10" s="287"/>
      <x:c r="B10" s="287"/>
      <x:c r="C10" s="287"/>
      <x:c r="D10" s="287"/>
      <x:c r="E10" s="287"/>
      <x:c r="F10" s="287"/>
      <x:c r="G10" s="287"/>
      <x:c r="H10" s="287"/>
      <x:c r="I10" s="287"/>
      <x:c r="J10" s="287"/>
    </x:row>
    <x:row r="11" ht="22" customHeight="1">
      <x:c r="A11" s="13" t="str">
        <x:v>DOWNSIDE CASH-FLOW ENGINE</x:v>
      </x:c>
      <x:c r="B11" s="13" t="str">
        <x:v>DOWNSIDE CASH-FLOW ENGINE</x:v>
      </x:c>
      <x:c r="C11" s="13" t="str">
        <x:v>DOWNSIDE CASH-FLOW ENGINE</x:v>
      </x:c>
      <x:c r="D11" s="13" t="str">
        <x:v>DOWNSIDE CASH-FLOW ENGINE</x:v>
      </x:c>
      <x:c r="E11" s="13" t="str">
        <x:v>DOWNSIDE CASH-FLOW ENGINE</x:v>
      </x:c>
      <x:c r="F11" s="13" t="str">
        <x:v>DOWNSIDE CASH-FLOW ENGINE</x:v>
      </x:c>
      <x:c r="G11" s="13" t="str">
        <x:v>DOWNSIDE CASH-FLOW ENGINE</x:v>
      </x:c>
      <x:c r="H11" s="13" t="str">
        <x:v>DOWNSIDE CASH-FLOW ENGINE</x:v>
      </x:c>
      <x:c r="I11" s="287"/>
      <x:c r="J11" s="287"/>
    </x:row>
    <x:row r="12" ht="28" customHeight="1">
      <x:c r="A12" s="46" t="str">
        <x:v>Metric</x:v>
      </x:c>
      <x:c r="B12" s="46" t="str">
        <x:v>Unit</x:v>
      </x:c>
      <x:c r="C12" s="111" t="n">
        <x:v>0</x:v>
      </x:c>
      <x:c r="D12" s="111" t="n">
        <x:v>1</x:v>
      </x:c>
      <x:c r="E12" s="111" t="n">
        <x:v>2</x:v>
      </x:c>
      <x:c r="F12" s="111" t="n">
        <x:v>3</x:v>
      </x:c>
      <x:c r="G12" s="111" t="n">
        <x:v>4</x:v>
      </x:c>
      <x:c r="H12" s="111" t="n">
        <x:v>5</x:v>
      </x:c>
      <x:c r="I12" s="287"/>
      <x:c r="J12" s="287"/>
    </x:row>
    <x:row r="13">
      <x:c r="A13" s="51" t="str">
        <x:v>Installed capex</x:v>
      </x:c>
      <x:c r="B13" s="51" t="str">
        <x:v>SEK</x:v>
      </x:c>
      <x:c r="C13" s="125" t="n">
        <x:f>-SUM('01_Assumptions'!$D$25:$D$29)*(1+'01_Assumptions'!$D$30)</x:f>
        <x:v>-2185000</x:v>
      </x:c>
      <x:c r="D13" s="125" t="n">
        <x:f>0</x:f>
        <x:v>0</x:v>
      </x:c>
      <x:c r="E13" s="125" t="n">
        <x:f>0</x:f>
        <x:v>0</x:v>
      </x:c>
      <x:c r="F13" s="125" t="n">
        <x:f>0</x:f>
        <x:v>0</x:v>
      </x:c>
      <x:c r="G13" s="125" t="n">
        <x:f>0</x:f>
        <x:v>0</x:v>
      </x:c>
      <x:c r="H13" s="125" t="n">
        <x:f>0</x:f>
        <x:v>0</x:v>
      </x:c>
      <x:c r="I13" s="287"/>
      <x:c r="J13" s="287"/>
    </x:row>
    <x:row r="14">
      <x:c r="A14" s="52" t="str">
        <x:v>Addressable labor hours</x:v>
      </x:c>
      <x:c r="B14" s="52" t="str">
        <x:v>hours/year</x:v>
      </x:c>
      <x:c r="C14" s="126" t="n">
        <x:f>0</x:f>
        <x:v>0</x:v>
      </x:c>
      <x:c r="D14" s="126" t="n">
        <x:f>'01_Assumptions'!$D$10*'01_Assumptions'!$D$11*'01_Assumptions'!$D$12*'01_Assumptions'!$D$13</x:f>
        <x:v>1620</x:v>
      </x:c>
      <x:c r="E14" s="126" t="n">
        <x:f>'01_Assumptions'!$D$10*'01_Assumptions'!$D$11*'01_Assumptions'!$D$12*'01_Assumptions'!$D$13</x:f>
        <x:v>1620</x:v>
      </x:c>
      <x:c r="F14" s="126" t="n">
        <x:f>'01_Assumptions'!$D$10*'01_Assumptions'!$D$11*'01_Assumptions'!$D$12*'01_Assumptions'!$D$13</x:f>
        <x:v>1620</x:v>
      </x:c>
      <x:c r="G14" s="126" t="n">
        <x:f>'01_Assumptions'!$D$10*'01_Assumptions'!$D$11*'01_Assumptions'!$D$12*'01_Assumptions'!$D$13</x:f>
        <x:v>1620</x:v>
      </x:c>
      <x:c r="H14" s="126" t="n">
        <x:f>'01_Assumptions'!$D$10*'01_Assumptions'!$D$11*'01_Assumptions'!$D$12*'01_Assumptions'!$D$13</x:f>
        <x:v>1620</x:v>
      </x:c>
      <x:c r="I14" s="287"/>
      <x:c r="J14" s="287"/>
    </x:row>
    <x:row r="15">
      <x:c r="A15" s="52" t="str">
        <x:v>Loaded labor cost</x:v>
      </x:c>
      <x:c r="B15" s="52" t="str">
        <x:v>SEK/hour</x:v>
      </x:c>
      <x:c r="C15" s="133" t="n">
        <x:f>0</x:f>
        <x:v>0</x:v>
      </x:c>
      <x:c r="D15" s="133" t="n">
        <x:f>'01_Assumptions'!$D$17*(1+'01_Assumptions'!$D$16)^(D$12-1)</x:f>
        <x:v>390</x:v>
      </x:c>
      <x:c r="E15" s="133" t="n">
        <x:f>'01_Assumptions'!$D$17*(1+'01_Assumptions'!$D$16)^(E$12-1)</x:f>
        <x:v>397.8</x:v>
      </x:c>
      <x:c r="F15" s="133" t="n">
        <x:f>'01_Assumptions'!$D$17*(1+'01_Assumptions'!$D$16)^(F$12-1)</x:f>
        <x:v>405.756</x:v>
      </x:c>
      <x:c r="G15" s="133" t="n">
        <x:f>'01_Assumptions'!$D$17*(1+'01_Assumptions'!$D$16)^(G$12-1)</x:f>
        <x:v>413.8711200000001</x:v>
      </x:c>
      <x:c r="H15" s="133" t="n">
        <x:f>'01_Assumptions'!$D$17*(1+'01_Assumptions'!$D$16)^(H$12-1)</x:f>
        <x:v>422.1485424</x:v>
      </x:c>
      <x:c r="I15" s="287"/>
      <x:c r="J15" s="287"/>
    </x:row>
    <x:row r="16">
      <x:c r="A16" s="52" t="str">
        <x:v>Gross labor cost addressed</x:v>
      </x:c>
      <x:c r="B16" s="52" t="str">
        <x:v>SEK</x:v>
      </x:c>
      <x:c r="C16" s="126" t="n">
        <x:f>0</x:f>
        <x:v>0</x:v>
      </x:c>
      <x:c r="D16" s="126" t="n">
        <x:f>D14*D15</x:f>
        <x:v>631800</x:v>
      </x:c>
      <x:c r="E16" s="126" t="n">
        <x:f>E14*E15</x:f>
        <x:v>644436</x:v>
      </x:c>
      <x:c r="F16" s="126" t="n">
        <x:f>F14*F15</x:f>
        <x:v>657324.72</x:v>
      </x:c>
      <x:c r="G16" s="126" t="n">
        <x:f>G14*G15</x:f>
        <x:v>670471.2144000002</x:v>
      </x:c>
      <x:c r="H16" s="126" t="n">
        <x:f>H14*H15</x:f>
        <x:v>683880.638688</x:v>
      </x:c>
      <x:c r="I16" s="287"/>
      <x:c r="J16" s="287"/>
    </x:row>
    <x:row r="17">
      <x:c r="A17" s="52" t="str">
        <x:v>Realized labor savings</x:v>
      </x:c>
      <x:c r="B17" s="52" t="str">
        <x:v>SEK</x:v>
      </x:c>
      <x:c r="C17" s="126" t="n">
        <x:f>0</x:f>
        <x:v>0</x:v>
      </x:c>
      <x:c r="D17" s="126" t="n">
        <x:f>D16*'01_Assumptions'!$D$14*'01_Assumptions'!$D$15</x:f>
        <x:v>241663.5</x:v>
      </x:c>
      <x:c r="E17" s="126" t="n">
        <x:f>E16*'01_Assumptions'!$D$14*'01_Assumptions'!$D$15</x:f>
        <x:v>246496.77</x:v>
      </x:c>
      <x:c r="F17" s="126" t="n">
        <x:f>F16*'01_Assumptions'!$D$14*'01_Assumptions'!$D$15</x:f>
        <x:v>251426.7054</x:v>
      </x:c>
      <x:c r="G17" s="126" t="n">
        <x:f>G16*'01_Assumptions'!$D$14*'01_Assumptions'!$D$15</x:f>
        <x:v>256455.23950800006</x:v>
      </x:c>
      <x:c r="H17" s="126" t="n">
        <x:f>H16*'01_Assumptions'!$D$14*'01_Assumptions'!$D$15</x:f>
        <x:v>261584.34429816002</x:v>
      </x:c>
      <x:c r="I17" s="287"/>
      <x:c r="J17" s="287"/>
    </x:row>
    <x:row r="18">
      <x:c r="A18" s="52" t="str">
        <x:v>Other quantified benefits</x:v>
      </x:c>
      <x:c r="B18" s="52" t="str">
        <x:v>SEK</x:v>
      </x:c>
      <x:c r="C18" s="126" t="n">
        <x:f>0</x:f>
        <x:v>0</x:v>
      </x:c>
      <x:c r="D18" s="126" t="n">
        <x:f>'01_Assumptions'!$D$36*(1+'01_Assumptions'!$D$34)^(D$12-1)</x:f>
        <x:v>0</x:v>
      </x:c>
      <x:c r="E18" s="126" t="n">
        <x:f>'01_Assumptions'!$D$36*(1+'01_Assumptions'!$D$34)^(E$12-1)</x:f>
        <x:v>0</x:v>
      </x:c>
      <x:c r="F18" s="126" t="n">
        <x:f>'01_Assumptions'!$D$36*(1+'01_Assumptions'!$D$34)^(F$12-1)</x:f>
        <x:v>0</x:v>
      </x:c>
      <x:c r="G18" s="126" t="n">
        <x:f>'01_Assumptions'!$D$36*(1+'01_Assumptions'!$D$34)^(G$12-1)</x:f>
        <x:v>0</x:v>
      </x:c>
      <x:c r="H18" s="126" t="n">
        <x:f>'01_Assumptions'!$D$36*(1+'01_Assumptions'!$D$34)^(H$12-1)</x:f>
        <x:v>0</x:v>
      </x:c>
      <x:c r="I18" s="287"/>
      <x:c r="J18" s="287"/>
    </x:row>
    <x:row r="19">
      <x:c r="A19" s="52" t="str">
        <x:v>Maintenance</x:v>
      </x:c>
      <x:c r="B19" s="52" t="str">
        <x:v>SEK</x:v>
      </x:c>
      <x:c r="C19" s="126" t="n">
        <x:f>0</x:f>
        <x:v>0</x:v>
      </x:c>
      <x:c r="D19" s="126" t="n">
        <x:f>ABS($C$13)*'01_Assumptions'!$D$31*(1+'01_Assumptions'!$D$34)^(D$12-1)</x:f>
        <x:v>152950.00000000003</x:v>
      </x:c>
      <x:c r="E19" s="126" t="n">
        <x:f>ABS($C$13)*'01_Assumptions'!$D$31*(1+'01_Assumptions'!$D$34)^(E$12-1)</x:f>
        <x:v>157538.50000000003</x:v>
      </x:c>
      <x:c r="F19" s="126" t="n">
        <x:f>ABS($C$13)*'01_Assumptions'!$D$31*(1+'01_Assumptions'!$D$34)^(F$12-1)</x:f>
        <x:v>162264.65500000003</x:v>
      </x:c>
      <x:c r="G19" s="126" t="n">
        <x:f>ABS($C$13)*'01_Assumptions'!$D$31*(1+'01_Assumptions'!$D$34)^(G$12-1)</x:f>
        <x:v>167132.59465000004</x:v>
      </x:c>
      <x:c r="H19" s="126" t="n">
        <x:f>ABS($C$13)*'01_Assumptions'!$D$31*(1+'01_Assumptions'!$D$34)^(H$12-1)</x:f>
        <x:v>172146.57248950005</x:v>
      </x:c>
      <x:c r="I19" s="287"/>
      <x:c r="J19" s="287"/>
    </x:row>
    <x:row r="20">
      <x:c r="A20" s="52" t="str">
        <x:v>Software and service</x:v>
      </x:c>
      <x:c r="B20" s="52" t="str">
        <x:v>SEK</x:v>
      </x:c>
      <x:c r="C20" s="126" t="n">
        <x:f>0</x:f>
        <x:v>0</x:v>
      </x:c>
      <x:c r="D20" s="126" t="n">
        <x:f>'01_Assumptions'!$D$32*(1+'01_Assumptions'!$D$34)^(D$12-1)</x:f>
        <x:v>45000</x:v>
      </x:c>
      <x:c r="E20" s="126" t="n">
        <x:f>'01_Assumptions'!$D$32*(1+'01_Assumptions'!$D$34)^(E$12-1)</x:f>
        <x:v>46350</x:v>
      </x:c>
      <x:c r="F20" s="126" t="n">
        <x:f>'01_Assumptions'!$D$32*(1+'01_Assumptions'!$D$34)^(F$12-1)</x:f>
        <x:v>47740.5</x:v>
      </x:c>
      <x:c r="G20" s="126" t="n">
        <x:f>'01_Assumptions'!$D$32*(1+'01_Assumptions'!$D$34)^(G$12-1)</x:f>
        <x:v>49172.715000000004</x:v>
      </x:c>
      <x:c r="H20" s="126" t="n">
        <x:f>'01_Assumptions'!$D$32*(1+'01_Assumptions'!$D$34)^(H$12-1)</x:f>
        <x:v>50647.89645000001</x:v>
      </x:c>
      <x:c r="I20" s="287"/>
      <x:c r="J20" s="287"/>
    </x:row>
    <x:row r="21">
      <x:c r="A21" s="52" t="str">
        <x:v>Electricity</x:v>
      </x:c>
      <x:c r="B21" s="52" t="str">
        <x:v>SEK</x:v>
      </x:c>
      <x:c r="C21" s="126" t="n">
        <x:f>0</x:f>
        <x:v>0</x:v>
      </x:c>
      <x:c r="D21" s="126" t="n">
        <x:f>'01_Assumptions'!$D$10*'01_Assumptions'!$D$11*'01_Assumptions'!$D$12*'01_Assumptions'!$D$24*'01_Assumptions'!$D$33*(1+'01_Assumptions'!$D$34)^(D$12-1)</x:f>
        <x:v>2430</x:v>
      </x:c>
      <x:c r="E21" s="126" t="n">
        <x:f>'01_Assumptions'!$D$10*'01_Assumptions'!$D$11*'01_Assumptions'!$D$12*'01_Assumptions'!$D$24*'01_Assumptions'!$D$33*(1+'01_Assumptions'!$D$34)^(E$12-1)</x:f>
        <x:v>2502.9</x:v>
      </x:c>
      <x:c r="F21" s="126" t="n">
        <x:f>'01_Assumptions'!$D$10*'01_Assumptions'!$D$11*'01_Assumptions'!$D$12*'01_Assumptions'!$D$24*'01_Assumptions'!$D$33*(1+'01_Assumptions'!$D$34)^(F$12-1)</x:f>
        <x:v>2577.987</x:v>
      </x:c>
      <x:c r="G21" s="126" t="n">
        <x:f>'01_Assumptions'!$D$10*'01_Assumptions'!$D$11*'01_Assumptions'!$D$12*'01_Assumptions'!$D$24*'01_Assumptions'!$D$33*(1+'01_Assumptions'!$D$34)^(G$12-1)</x:f>
        <x:v>2655.32661</x:v>
      </x:c>
      <x:c r="H21" s="126" t="n">
        <x:f>'01_Assumptions'!$D$10*'01_Assumptions'!$D$11*'01_Assumptions'!$D$12*'01_Assumptions'!$D$24*'01_Assumptions'!$D$33*(1+'01_Assumptions'!$D$34)^(H$12-1)</x:f>
        <x:v>2734.9864083</x:v>
      </x:c>
      <x:c r="I21" s="287"/>
      <x:c r="J21" s="287"/>
    </x:row>
    <x:row r="22">
      <x:c r="A22" s="52" t="str">
        <x:v>Incremental EBITDA</x:v>
      </x:c>
      <x:c r="B22" s="52" t="str">
        <x:v>SEK</x:v>
      </x:c>
      <x:c r="C22" s="126" t="n">
        <x:f>0</x:f>
        <x:v>0</x:v>
      </x:c>
      <x:c r="D22" s="126" t="n">
        <x:f>D17+D18-SUM(D19:D21)</x:f>
        <x:v>41283.49999999997</x:v>
      </x:c>
      <x:c r="E22" s="126" t="n">
        <x:f>E17+E18-SUM(E19:E21)</x:f>
        <x:v>40105.369999999966</x:v>
      </x:c>
      <x:c r="F22" s="126" t="n">
        <x:f>F17+F18-SUM(F19:F21)</x:f>
        <x:v>38843.563399999985</x:v>
      </x:c>
      <x:c r="G22" s="126" t="n">
        <x:f>G17+G18-SUM(G19:G21)</x:f>
        <x:v>37494.60324800003</x:v>
      </x:c>
      <x:c r="H22" s="126" t="n">
        <x:f>H17+H18-SUM(H19:H21)</x:f>
        <x:v>36054.88895035998</x:v>
      </x:c>
      <x:c r="I22" s="287"/>
      <x:c r="J22" s="287"/>
    </x:row>
    <x:row r="23">
      <x:c r="A23" s="52" t="str">
        <x:v>Depreciation</x:v>
      </x:c>
      <x:c r="B23" s="52" t="str">
        <x:v>SEK</x:v>
      </x:c>
      <x:c r="C23" s="126" t="n">
        <x:f>0</x:f>
        <x:v>0</x:v>
      </x:c>
      <x:c r="D23" s="126" t="n">
        <x:f>ABS($C$13)/'01_Assumptions'!$D$9</x:f>
        <x:v>437000</x:v>
      </x:c>
      <x:c r="E23" s="126" t="n">
        <x:f>ABS($C$13)/'01_Assumptions'!$D$9</x:f>
        <x:v>437000</x:v>
      </x:c>
      <x:c r="F23" s="126" t="n">
        <x:f>ABS($C$13)/'01_Assumptions'!$D$9</x:f>
        <x:v>437000</x:v>
      </x:c>
      <x:c r="G23" s="126" t="n">
        <x:f>ABS($C$13)/'01_Assumptions'!$D$9</x:f>
        <x:v>437000</x:v>
      </x:c>
      <x:c r="H23" s="126" t="n">
        <x:f>ABS($C$13)/'01_Assumptions'!$D$9</x:f>
        <x:v>437000</x:v>
      </x:c>
      <x:c r="I23" s="287"/>
      <x:c r="J23" s="287"/>
    </x:row>
    <x:row r="24">
      <x:c r="A24" s="52" t="str">
        <x:v>Incremental EBIT</x:v>
      </x:c>
      <x:c r="B24" s="52" t="str">
        <x:v>SEK</x:v>
      </x:c>
      <x:c r="C24" s="126" t="n">
        <x:f>0</x:f>
        <x:v>0</x:v>
      </x:c>
      <x:c r="D24" s="126" t="n">
        <x:f>D22-D23</x:f>
        <x:v>-395716.5</x:v>
      </x:c>
      <x:c r="E24" s="126" t="n">
        <x:f>E22-E23</x:f>
        <x:v>-396894.63</x:v>
      </x:c>
      <x:c r="F24" s="126" t="n">
        <x:f>F22-F23</x:f>
        <x:v>-398156.4366</x:v>
      </x:c>
      <x:c r="G24" s="126" t="n">
        <x:f>G22-G23</x:f>
        <x:v>-399505.396752</x:v>
      </x:c>
      <x:c r="H24" s="126" t="n">
        <x:f>H22-H23</x:f>
        <x:v>-400945.11104964</x:v>
      </x:c>
      <x:c r="I24" s="287"/>
      <x:c r="J24" s="287"/>
    </x:row>
    <x:row r="25">
      <x:c r="A25" s="52" t="str">
        <x:v>Cash tax</x:v>
      </x:c>
      <x:c r="B25" s="52" t="str">
        <x:v>SEK</x:v>
      </x:c>
      <x:c r="C25" s="126" t="n">
        <x:f>0</x:f>
        <x:v>0</x:v>
      </x:c>
      <x:c r="D25" s="126" t="n">
        <x:f>MAX(0,D24*'01_Assumptions'!$D$8)</x:f>
        <x:v>0</x:v>
      </x:c>
      <x:c r="E25" s="126" t="n">
        <x:f>MAX(0,E24*'01_Assumptions'!$D$8)</x:f>
        <x:v>0</x:v>
      </x:c>
      <x:c r="F25" s="126" t="n">
        <x:f>MAX(0,F24*'01_Assumptions'!$D$8)</x:f>
        <x:v>0</x:v>
      </x:c>
      <x:c r="G25" s="126" t="n">
        <x:f>MAX(0,G24*'01_Assumptions'!$D$8)</x:f>
        <x:v>0</x:v>
      </x:c>
      <x:c r="H25" s="126" t="n">
        <x:f>MAX(0,H24*'01_Assumptions'!$D$8)</x:f>
        <x:v>0</x:v>
      </x:c>
      <x:c r="I25" s="287"/>
      <x:c r="J25" s="287"/>
    </x:row>
    <x:row r="26">
      <x:c r="A26" s="52" t="str">
        <x:v>Salvage proceeds after tax</x:v>
      </x:c>
      <x:c r="B26" s="52" t="str">
        <x:v>SEK</x:v>
      </x:c>
      <x:c r="C26" s="126" t="n">
        <x:f>0</x:f>
        <x:v>0</x:v>
      </x:c>
      <x:c r="D26" s="126" t="n">
        <x:f>IF(D$12='01_Assumptions'!$D$6,ABS($C$13)*'01_Assumptions'!$D$35*(1-'01_Assumptions'!$D$8),0)</x:f>
        <x:v>0</x:v>
      </x:c>
      <x:c r="E26" s="126" t="n">
        <x:f>IF(E$12='01_Assumptions'!$D$6,ABS($C$13)*'01_Assumptions'!$D$35*(1-'01_Assumptions'!$D$8),0)</x:f>
        <x:v>0</x:v>
      </x:c>
      <x:c r="F26" s="126" t="n">
        <x:f>IF(F$12='01_Assumptions'!$D$6,ABS($C$13)*'01_Assumptions'!$D$35*(1-'01_Assumptions'!$D$8),0)</x:f>
        <x:v>0</x:v>
      </x:c>
      <x:c r="G26" s="126" t="n">
        <x:f>IF(G$12='01_Assumptions'!$D$6,ABS($C$13)*'01_Assumptions'!$D$35*(1-'01_Assumptions'!$D$8),0)</x:f>
        <x:v>0</x:v>
      </x:c>
      <x:c r="H26" s="126" t="n">
        <x:f>IF(H$12='01_Assumptions'!$D$6,ABS($C$13)*'01_Assumptions'!$D$35*(1-'01_Assumptions'!$D$8),0)</x:f>
        <x:v>0</x:v>
      </x:c>
      <x:c r="I26" s="287"/>
      <x:c r="J26" s="287"/>
    </x:row>
    <x:row r="27">
      <x:c r="A27" s="122" t="str">
        <x:v>After-tax free cash flow</x:v>
      </x:c>
      <x:c r="B27" s="122" t="str">
        <x:v>SEK</x:v>
      </x:c>
      <x:c r="C27" s="132" t="n">
        <x:f>C13</x:f>
        <x:v>-2185000</x:v>
      </x:c>
      <x:c r="D27" s="132" t="n">
        <x:f>D22-D25+D26</x:f>
        <x:v>41283.49999999997</x:v>
      </x:c>
      <x:c r="E27" s="132" t="n">
        <x:f>E22-E25+E26</x:f>
        <x:v>40105.369999999966</x:v>
      </x:c>
      <x:c r="F27" s="132" t="n">
        <x:f>F22-F25+F26</x:f>
        <x:v>38843.563399999985</x:v>
      </x:c>
      <x:c r="G27" s="132" t="n">
        <x:f>G22-G25+G26</x:f>
        <x:v>37494.60324800003</x:v>
      </x:c>
      <x:c r="H27" s="132" t="n">
        <x:f>H22-H25+H26</x:f>
        <x:v>36054.88895035998</x:v>
      </x:c>
      <x:c r="I27" s="287"/>
      <x:c r="J27" s="287"/>
    </x:row>
    <x:row r="28">
      <x:c r="A28" s="52" t="str">
        <x:v>Discount factor</x:v>
      </x:c>
      <x:c r="B28" s="52" t="str">
        <x:v>x</x:v>
      </x:c>
      <x:c r="C28" s="134" t="n">
        <x:f>1</x:f>
        <x:v>1</x:v>
      </x:c>
      <x:c r="D28" s="134" t="n">
        <x:f>1/(1+'01_Assumptions'!$D$7)^D$12</x:f>
        <x:v>0.9090909090909091</x:v>
      </x:c>
      <x:c r="E28" s="134" t="n">
        <x:f>1/(1+'01_Assumptions'!$D$7)^E$12</x:f>
        <x:v>0.8264462809917354</x:v>
      </x:c>
      <x:c r="F28" s="134" t="n">
        <x:f>1/(1+'01_Assumptions'!$D$7)^F$12</x:f>
        <x:v>0.7513148009015775</x:v>
      </x:c>
      <x:c r="G28" s="134" t="n">
        <x:f>1/(1+'01_Assumptions'!$D$7)^G$12</x:f>
        <x:v>0.6830134553650705</x:v>
      </x:c>
      <x:c r="H28" s="134" t="n">
        <x:f>1/(1+'01_Assumptions'!$D$7)^H$12</x:f>
        <x:v>0.6209213230591549</x:v>
      </x:c>
      <x:c r="I28" s="287"/>
      <x:c r="J28" s="287"/>
    </x:row>
    <x:row r="29">
      <x:c r="A29" s="52" t="str">
        <x:v>Present value</x:v>
      </x:c>
      <x:c r="B29" s="52" t="str">
        <x:v>SEK</x:v>
      </x:c>
      <x:c r="C29" s="126" t="n">
        <x:f>C27*C28</x:f>
        <x:v>-2185000</x:v>
      </x:c>
      <x:c r="D29" s="126" t="n">
        <x:f>D27*D28</x:f>
        <x:v>37530.454545454515</x:v>
      </x:c>
      <x:c r="E29" s="126" t="n">
        <x:f>E27*E28</x:f>
        <x:v>33144.93388429749</x:v>
      </x:c>
      <x:c r="F29" s="126" t="n">
        <x:f>F27*F28</x:f>
        <x:v>29183.744102178793</x:v>
      </x:c>
      <x:c r="G29" s="126" t="n">
        <x:f>G27*G28</x:f>
        <x:v>25609.318521958896</x:v>
      </x:c>
      <x:c r="H29" s="126" t="n">
        <x:f>H27*H28</x:f>
        <x:v>22387.249349808422</x:v>
      </x:c>
      <x:c r="I29" s="287"/>
      <x:c r="J29" s="287"/>
    </x:row>
    <x:row r="30">
      <x:c r="A30" s="53" t="str">
        <x:v>Cumulative cash flow</x:v>
      </x:c>
      <x:c r="B30" s="53" t="str">
        <x:v>SEK</x:v>
      </x:c>
      <x:c r="C30" s="163" t="n">
        <x:f>C27</x:f>
        <x:v>-2185000</x:v>
      </x:c>
      <x:c r="D30" s="163" t="n">
        <x:f>C30+D27</x:f>
        <x:v>-2143716.5</x:v>
      </x:c>
      <x:c r="E30" s="163" t="n">
        <x:f>D30+E27</x:f>
        <x:v>-2103611.13</x:v>
      </x:c>
      <x:c r="F30" s="163" t="n">
        <x:f>E30+F27</x:f>
        <x:v>-2064767.5666</x:v>
      </x:c>
      <x:c r="G30" s="163" t="n">
        <x:f>F30+G27</x:f>
        <x:v>-2027272.9633519999</x:v>
      </x:c>
      <x:c r="H30" s="163" t="n">
        <x:f>G30+H27</x:f>
        <x:v>-1991218.0744016399</x:v>
      </x:c>
      <x:c r="I30" s="287"/>
      <x:c r="J30" s="287"/>
    </x:row>
    <x:row r="31">
      <x:c r="A31" s="287"/>
      <x:c r="B31" s="287"/>
      <x:c r="C31" s="287"/>
      <x:c r="D31" s="287"/>
      <x:c r="E31" s="287"/>
      <x:c r="F31" s="287"/>
      <x:c r="G31" s="287"/>
      <x:c r="H31" s="287"/>
      <x:c r="I31" s="287"/>
      <x:c r="J31" s="287"/>
    </x:row>
    <x:row r="32">
      <x:c r="A32" s="287"/>
      <x:c r="B32" s="287"/>
      <x:c r="C32" s="287"/>
      <x:c r="D32" s="287"/>
      <x:c r="E32" s="287"/>
      <x:c r="F32" s="287"/>
      <x:c r="G32" s="287"/>
      <x:c r="H32" s="287"/>
      <x:c r="I32" s="287"/>
      <x:c r="J32" s="287"/>
    </x:row>
    <x:row r="33">
      <x:c r="A33" s="287"/>
      <x:c r="B33" s="287"/>
      <x:c r="C33" s="287"/>
      <x:c r="D33" s="287"/>
      <x:c r="E33" s="287"/>
      <x:c r="F33" s="287"/>
      <x:c r="G33" s="287"/>
      <x:c r="H33" s="287"/>
      <x:c r="I33" s="287"/>
      <x:c r="J33" s="287"/>
    </x:row>
    <x:row r="34" ht="22" customHeight="1">
      <x:c r="A34" s="13" t="str">
        <x:v>BASE CASE CASH-FLOW ENGINE</x:v>
      </x:c>
      <x:c r="B34" s="13" t="str">
        <x:v>BASE CASE CASH-FLOW ENGINE</x:v>
      </x:c>
      <x:c r="C34" s="13" t="str">
        <x:v>BASE CASE CASH-FLOW ENGINE</x:v>
      </x:c>
      <x:c r="D34" s="13" t="str">
        <x:v>BASE CASE CASH-FLOW ENGINE</x:v>
      </x:c>
      <x:c r="E34" s="13" t="str">
        <x:v>BASE CASE CASH-FLOW ENGINE</x:v>
      </x:c>
      <x:c r="F34" s="13" t="str">
        <x:v>BASE CASE CASH-FLOW ENGINE</x:v>
      </x:c>
      <x:c r="G34" s="13" t="str">
        <x:v>BASE CASE CASH-FLOW ENGINE</x:v>
      </x:c>
      <x:c r="H34" s="13" t="str">
        <x:v>BASE CASE CASH-FLOW ENGINE</x:v>
      </x:c>
      <x:c r="I34" s="287"/>
      <x:c r="J34" s="287"/>
    </x:row>
    <x:row r="35" ht="28" customHeight="1">
      <x:c r="A35" s="46" t="str">
        <x:v>Metric</x:v>
      </x:c>
      <x:c r="B35" s="46" t="str">
        <x:v>Unit</x:v>
      </x:c>
      <x:c r="C35" s="111" t="n">
        <x:v>0</x:v>
      </x:c>
      <x:c r="D35" s="111" t="n">
        <x:v>1</x:v>
      </x:c>
      <x:c r="E35" s="111" t="n">
        <x:v>2</x:v>
      </x:c>
      <x:c r="F35" s="111" t="n">
        <x:v>3</x:v>
      </x:c>
      <x:c r="G35" s="111" t="n">
        <x:v>4</x:v>
      </x:c>
      <x:c r="H35" s="111" t="n">
        <x:v>5</x:v>
      </x:c>
      <x:c r="I35" s="287"/>
      <x:c r="J35" s="287"/>
    </x:row>
    <x:row r="36">
      <x:c r="A36" s="51" t="str">
        <x:v>Installed capex</x:v>
      </x:c>
      <x:c r="B36" s="51" t="str">
        <x:v>SEK</x:v>
      </x:c>
      <x:c r="C36" s="125" t="n">
        <x:f>-SUM('01_Assumptions'!$E$25:$E$29)*(1+'01_Assumptions'!$E$30)</x:f>
        <x:v>-1732500.0000000002</x:v>
      </x:c>
      <x:c r="D36" s="125" t="n">
        <x:f>0</x:f>
        <x:v>0</x:v>
      </x:c>
      <x:c r="E36" s="125" t="n">
        <x:f>0</x:f>
        <x:v>0</x:v>
      </x:c>
      <x:c r="F36" s="125" t="n">
        <x:f>0</x:f>
        <x:v>0</x:v>
      </x:c>
      <x:c r="G36" s="125" t="n">
        <x:f>0</x:f>
        <x:v>0</x:v>
      </x:c>
      <x:c r="H36" s="125" t="n">
        <x:f>0</x:f>
        <x:v>0</x:v>
      </x:c>
      <x:c r="I36" s="287"/>
      <x:c r="J36" s="287"/>
    </x:row>
    <x:row r="37">
      <x:c r="A37" s="52" t="str">
        <x:v>Addressable labor hours</x:v>
      </x:c>
      <x:c r="B37" s="52" t="str">
        <x:v>hours/year</x:v>
      </x:c>
      <x:c r="C37" s="126" t="n">
        <x:f>0</x:f>
        <x:v>0</x:v>
      </x:c>
      <x:c r="D37" s="126" t="n">
        <x:f>'01_Assumptions'!$E$10*'01_Assumptions'!$E$11*'01_Assumptions'!$E$12*'01_Assumptions'!$E$13</x:f>
        <x:v>3600</x:v>
      </x:c>
      <x:c r="E37" s="126" t="n">
        <x:f>'01_Assumptions'!$E$10*'01_Assumptions'!$E$11*'01_Assumptions'!$E$12*'01_Assumptions'!$E$13</x:f>
        <x:v>3600</x:v>
      </x:c>
      <x:c r="F37" s="126" t="n">
        <x:f>'01_Assumptions'!$E$10*'01_Assumptions'!$E$11*'01_Assumptions'!$E$12*'01_Assumptions'!$E$13</x:f>
        <x:v>3600</x:v>
      </x:c>
      <x:c r="G37" s="126" t="n">
        <x:f>'01_Assumptions'!$E$10*'01_Assumptions'!$E$11*'01_Assumptions'!$E$12*'01_Assumptions'!$E$13</x:f>
        <x:v>3600</x:v>
      </x:c>
      <x:c r="H37" s="126" t="n">
        <x:f>'01_Assumptions'!$E$10*'01_Assumptions'!$E$11*'01_Assumptions'!$E$12*'01_Assumptions'!$E$13</x:f>
        <x:v>3600</x:v>
      </x:c>
      <x:c r="I37" s="287"/>
      <x:c r="J37" s="287"/>
    </x:row>
    <x:row r="38">
      <x:c r="A38" s="52" t="str">
        <x:v>Loaded labor cost</x:v>
      </x:c>
      <x:c r="B38" s="52" t="str">
        <x:v>SEK/hour</x:v>
      </x:c>
      <x:c r="C38" s="133" t="n">
        <x:f>0</x:f>
        <x:v>0</x:v>
      </x:c>
      <x:c r="D38" s="133" t="n">
        <x:f>'01_Assumptions'!$E$17*(1+'01_Assumptions'!$E$16)^(D$35-1)</x:f>
        <x:v>450</x:v>
      </x:c>
      <x:c r="E38" s="133" t="n">
        <x:f>'01_Assumptions'!$E$17*(1+'01_Assumptions'!$E$16)^(E$35-1)</x:f>
        <x:v>463.5</x:v>
      </x:c>
      <x:c r="F38" s="133" t="n">
        <x:f>'01_Assumptions'!$E$17*(1+'01_Assumptions'!$E$16)^(F$35-1)</x:f>
        <x:v>477.405</x:v>
      </x:c>
      <x:c r="G38" s="133" t="n">
        <x:f>'01_Assumptions'!$E$17*(1+'01_Assumptions'!$E$16)^(G$35-1)</x:f>
        <x:v>491.72715</x:v>
      </x:c>
      <x:c r="H38" s="133" t="n">
        <x:f>'01_Assumptions'!$E$17*(1+'01_Assumptions'!$E$16)^(H$35-1)</x:f>
        <x:v>506.4789645000001</x:v>
      </x:c>
      <x:c r="I38" s="287"/>
      <x:c r="J38" s="287"/>
    </x:row>
    <x:row r="39">
      <x:c r="A39" s="52" t="str">
        <x:v>Gross labor cost addressed</x:v>
      </x:c>
      <x:c r="B39" s="52" t="str">
        <x:v>SEK</x:v>
      </x:c>
      <x:c r="C39" s="126" t="n">
        <x:f>0</x:f>
        <x:v>0</x:v>
      </x:c>
      <x:c r="D39" s="126" t="n">
        <x:f>D37*D38</x:f>
        <x:v>1620000</x:v>
      </x:c>
      <x:c r="E39" s="126" t="n">
        <x:f>E37*E38</x:f>
        <x:v>1668600</x:v>
      </x:c>
      <x:c r="F39" s="126" t="n">
        <x:f>F37*F38</x:f>
        <x:v>1718658</x:v>
      </x:c>
      <x:c r="G39" s="126" t="n">
        <x:f>G37*G38</x:f>
        <x:v>1770217.74</x:v>
      </x:c>
      <x:c r="H39" s="126" t="n">
        <x:f>H37*H38</x:f>
        <x:v>1823324.2722000002</x:v>
      </x:c>
      <x:c r="I39" s="287"/>
      <x:c r="J39" s="287"/>
    </x:row>
    <x:row r="40">
      <x:c r="A40" s="52" t="str">
        <x:v>Realized labor savings</x:v>
      </x:c>
      <x:c r="B40" s="52" t="str">
        <x:v>SEK</x:v>
      </x:c>
      <x:c r="C40" s="126" t="n">
        <x:f>0</x:f>
        <x:v>0</x:v>
      </x:c>
      <x:c r="D40" s="126" t="n">
        <x:f>D39*'01_Assumptions'!$E$14*'01_Assumptions'!$E$15</x:f>
        <x:v>968760</x:v>
      </x:c>
      <x:c r="E40" s="126" t="n">
        <x:f>E39*'01_Assumptions'!$E$14*'01_Assumptions'!$E$15</x:f>
        <x:v>997822.8</x:v>
      </x:c>
      <x:c r="F40" s="126" t="n">
        <x:f>F39*'01_Assumptions'!$E$14*'01_Assumptions'!$E$15</x:f>
        <x:v>1027757.484</x:v>
      </x:c>
      <x:c r="G40" s="126" t="n">
        <x:f>G39*'01_Assumptions'!$E$14*'01_Assumptions'!$E$15</x:f>
        <x:v>1058590.20852</x:v>
      </x:c>
      <x:c r="H40" s="126" t="n">
        <x:f>H39*'01_Assumptions'!$E$14*'01_Assumptions'!$E$15</x:f>
        <x:v>1090347.9147756002</x:v>
      </x:c>
      <x:c r="I40" s="287"/>
      <x:c r="J40" s="287"/>
    </x:row>
    <x:row r="41">
      <x:c r="A41" s="52" t="str">
        <x:v>Other quantified benefits</x:v>
      </x:c>
      <x:c r="B41" s="52" t="str">
        <x:v>SEK</x:v>
      </x:c>
      <x:c r="C41" s="126" t="n">
        <x:f>0</x:f>
        <x:v>0</x:v>
      </x:c>
      <x:c r="D41" s="126" t="n">
        <x:f>'01_Assumptions'!$E$36*(1+'01_Assumptions'!$E$34)^(D$35-1)</x:f>
        <x:v>0</x:v>
      </x:c>
      <x:c r="E41" s="126" t="n">
        <x:f>'01_Assumptions'!$E$36*(1+'01_Assumptions'!$E$34)^(E$35-1)</x:f>
        <x:v>0</x:v>
      </x:c>
      <x:c r="F41" s="126" t="n">
        <x:f>'01_Assumptions'!$E$36*(1+'01_Assumptions'!$E$34)^(F$35-1)</x:f>
        <x:v>0</x:v>
      </x:c>
      <x:c r="G41" s="126" t="n">
        <x:f>'01_Assumptions'!$E$36*(1+'01_Assumptions'!$E$34)^(G$35-1)</x:f>
        <x:v>0</x:v>
      </x:c>
      <x:c r="H41" s="126" t="n">
        <x:f>'01_Assumptions'!$E$36*(1+'01_Assumptions'!$E$34)^(H$35-1)</x:f>
        <x:v>0</x:v>
      </x:c>
      <x:c r="I41" s="287"/>
      <x:c r="J41" s="287"/>
    </x:row>
    <x:row r="42">
      <x:c r="A42" s="52" t="str">
        <x:v>Maintenance</x:v>
      </x:c>
      <x:c r="B42" s="52" t="str">
        <x:v>SEK</x:v>
      </x:c>
      <x:c r="C42" s="126" t="n">
        <x:f>0</x:f>
        <x:v>0</x:v>
      </x:c>
      <x:c r="D42" s="126" t="n">
        <x:f>ABS($C$36)*'01_Assumptions'!$E$31*(1+'01_Assumptions'!$E$34)^(D$35-1)</x:f>
        <x:v>86625.00000000001</x:v>
      </x:c>
      <x:c r="E42" s="126" t="n">
        <x:f>ABS($C$36)*'01_Assumptions'!$E$31*(1+'01_Assumptions'!$E$34)^(E$35-1)</x:f>
        <x:v>88357.50000000001</x:v>
      </x:c>
      <x:c r="F42" s="126" t="n">
        <x:f>ABS($C$36)*'01_Assumptions'!$E$31*(1+'01_Assumptions'!$E$34)^(F$35-1)</x:f>
        <x:v>90124.65000000001</x:v>
      </x:c>
      <x:c r="G42" s="126" t="n">
        <x:f>ABS($C$36)*'01_Assumptions'!$E$31*(1+'01_Assumptions'!$E$34)^(G$35-1)</x:f>
        <x:v>91927.14300000003</x:v>
      </x:c>
      <x:c r="H42" s="126" t="n">
        <x:f>ABS($C$36)*'01_Assumptions'!$E$31*(1+'01_Assumptions'!$E$34)^(H$35-1)</x:f>
        <x:v>93765.68586000001</x:v>
      </x:c>
      <x:c r="I42" s="287"/>
      <x:c r="J42" s="287"/>
    </x:row>
    <x:row r="43">
      <x:c r="A43" s="52" t="str">
        <x:v>Software and service</x:v>
      </x:c>
      <x:c r="B43" s="52" t="str">
        <x:v>SEK</x:v>
      </x:c>
      <x:c r="C43" s="126" t="n">
        <x:f>0</x:f>
        <x:v>0</x:v>
      </x:c>
      <x:c r="D43" s="126" t="n">
        <x:f>'01_Assumptions'!$E$32*(1+'01_Assumptions'!$E$34)^(D$35-1)</x:f>
        <x:v>30000</x:v>
      </x:c>
      <x:c r="E43" s="126" t="n">
        <x:f>'01_Assumptions'!$E$32*(1+'01_Assumptions'!$E$34)^(E$35-1)</x:f>
        <x:v>30600</x:v>
      </x:c>
      <x:c r="F43" s="126" t="n">
        <x:f>'01_Assumptions'!$E$32*(1+'01_Assumptions'!$E$34)^(F$35-1)</x:f>
        <x:v>31212</x:v>
      </x:c>
      <x:c r="G43" s="126" t="n">
        <x:f>'01_Assumptions'!$E$32*(1+'01_Assumptions'!$E$34)^(G$35-1)</x:f>
        <x:v>31836.240000000005</x:v>
      </x:c>
      <x:c r="H43" s="126" t="n">
        <x:f>'01_Assumptions'!$E$32*(1+'01_Assumptions'!$E$34)^(H$35-1)</x:f>
        <x:v>32472.964799999998</x:v>
      </x:c>
      <x:c r="I43" s="287"/>
      <x:c r="J43" s="287"/>
    </x:row>
    <x:row r="44">
      <x:c r="A44" s="52" t="str">
        <x:v>Electricity</x:v>
      </x:c>
      <x:c r="B44" s="52" t="str">
        <x:v>SEK</x:v>
      </x:c>
      <x:c r="C44" s="126" t="n">
        <x:f>0</x:f>
        <x:v>0</x:v>
      </x:c>
      <x:c r="D44" s="126" t="n">
        <x:f>'01_Assumptions'!$E$10*'01_Assumptions'!$E$11*'01_Assumptions'!$E$12*'01_Assumptions'!$E$24*'01_Assumptions'!$E$33*(1+'01_Assumptions'!$E$34)^(D$35-1)</x:f>
        <x:v>2700</x:v>
      </x:c>
      <x:c r="E44" s="126" t="n">
        <x:f>'01_Assumptions'!$E$10*'01_Assumptions'!$E$11*'01_Assumptions'!$E$12*'01_Assumptions'!$E$24*'01_Assumptions'!$E$33*(1+'01_Assumptions'!$E$34)^(E$35-1)</x:f>
        <x:v>2754</x:v>
      </x:c>
      <x:c r="F44" s="126" t="n">
        <x:f>'01_Assumptions'!$E$10*'01_Assumptions'!$E$11*'01_Assumptions'!$E$12*'01_Assumptions'!$E$24*'01_Assumptions'!$E$33*(1+'01_Assumptions'!$E$34)^(F$35-1)</x:f>
        <x:v>2809.08</x:v>
      </x:c>
      <x:c r="G44" s="126" t="n">
        <x:f>'01_Assumptions'!$E$10*'01_Assumptions'!$E$11*'01_Assumptions'!$E$12*'01_Assumptions'!$E$24*'01_Assumptions'!$E$33*(1+'01_Assumptions'!$E$34)^(G$35-1)</x:f>
        <x:v>2865.2616000000003</x:v>
      </x:c>
      <x:c r="H44" s="126" t="n">
        <x:f>'01_Assumptions'!$E$10*'01_Assumptions'!$E$11*'01_Assumptions'!$E$12*'01_Assumptions'!$E$24*'01_Assumptions'!$E$33*(1+'01_Assumptions'!$E$34)^(H$35-1)</x:f>
        <x:v>2922.566832</x:v>
      </x:c>
      <x:c r="I44" s="287"/>
      <x:c r="J44" s="287"/>
    </x:row>
    <x:row r="45">
      <x:c r="A45" s="52" t="str">
        <x:v>Incremental EBITDA</x:v>
      </x:c>
      <x:c r="B45" s="52" t="str">
        <x:v>SEK</x:v>
      </x:c>
      <x:c r="C45" s="126" t="n">
        <x:f>0</x:f>
        <x:v>0</x:v>
      </x:c>
      <x:c r="D45" s="126" t="n">
        <x:f>D40+D41-SUM(D42:D44)</x:f>
        <x:v>849435</x:v>
      </x:c>
      <x:c r="E45" s="126" t="n">
        <x:f>E40+E41-SUM(E42:E44)</x:f>
        <x:v>876111.3</x:v>
      </x:c>
      <x:c r="F45" s="126" t="n">
        <x:f>F40+F41-SUM(F42:F44)</x:f>
        <x:v>903611.7540000001</x:v>
      </x:c>
      <x:c r="G45" s="126" t="n">
        <x:f>G40+G41-SUM(G42:G44)</x:f>
        <x:v>931961.5639200001</x:v>
      </x:c>
      <x:c r="H45" s="126" t="n">
        <x:f>H40+H41-SUM(H42:H44)</x:f>
        <x:v>961186.6972836002</x:v>
      </x:c>
      <x:c r="I45" s="287"/>
      <x:c r="J45" s="287"/>
    </x:row>
    <x:row r="46">
      <x:c r="A46" s="52" t="str">
        <x:v>Depreciation</x:v>
      </x:c>
      <x:c r="B46" s="52" t="str">
        <x:v>SEK</x:v>
      </x:c>
      <x:c r="C46" s="126" t="n">
        <x:f>0</x:f>
        <x:v>0</x:v>
      </x:c>
      <x:c r="D46" s="126" t="n">
        <x:f>ABS($C$36)/'01_Assumptions'!$E$9</x:f>
        <x:v>346500.00000000006</x:v>
      </x:c>
      <x:c r="E46" s="126" t="n">
        <x:f>ABS($C$36)/'01_Assumptions'!$E$9</x:f>
        <x:v>346500.00000000006</x:v>
      </x:c>
      <x:c r="F46" s="126" t="n">
        <x:f>ABS($C$36)/'01_Assumptions'!$E$9</x:f>
        <x:v>346500.00000000006</x:v>
      </x:c>
      <x:c r="G46" s="126" t="n">
        <x:f>ABS($C$36)/'01_Assumptions'!$E$9</x:f>
        <x:v>346500.00000000006</x:v>
      </x:c>
      <x:c r="H46" s="126" t="n">
        <x:f>ABS($C$36)/'01_Assumptions'!$E$9</x:f>
        <x:v>346500.00000000006</x:v>
      </x:c>
      <x:c r="I46" s="287"/>
      <x:c r="J46" s="287"/>
    </x:row>
    <x:row r="47">
      <x:c r="A47" s="52" t="str">
        <x:v>Incremental EBIT</x:v>
      </x:c>
      <x:c r="B47" s="52" t="str">
        <x:v>SEK</x:v>
      </x:c>
      <x:c r="C47" s="126" t="n">
        <x:f>0</x:f>
        <x:v>0</x:v>
      </x:c>
      <x:c r="D47" s="126" t="n">
        <x:f>D45-D46</x:f>
        <x:v>502934.99999999994</x:v>
      </x:c>
      <x:c r="E47" s="126" t="n">
        <x:f>E45-E46</x:f>
        <x:v>529611.3</x:v>
      </x:c>
      <x:c r="F47" s="126" t="n">
        <x:f>F45-F46</x:f>
        <x:v>557111.754</x:v>
      </x:c>
      <x:c r="G47" s="126" t="n">
        <x:f>G45-G46</x:f>
        <x:v>585461.5639200001</x:v>
      </x:c>
      <x:c r="H47" s="126" t="n">
        <x:f>H45-H46</x:f>
        <x:v>614686.6972836002</x:v>
      </x:c>
      <x:c r="I47" s="287"/>
      <x:c r="J47" s="287"/>
    </x:row>
    <x:row r="48">
      <x:c r="A48" s="52" t="str">
        <x:v>Cash tax</x:v>
      </x:c>
      <x:c r="B48" s="52" t="str">
        <x:v>SEK</x:v>
      </x:c>
      <x:c r="C48" s="126" t="n">
        <x:f>0</x:f>
        <x:v>0</x:v>
      </x:c>
      <x:c r="D48" s="126" t="n">
        <x:f>MAX(0,D47*'01_Assumptions'!$E$8)</x:f>
        <x:v>103604.60999999999</x:v>
      </x:c>
      <x:c r="E48" s="126" t="n">
        <x:f>MAX(0,E47*'01_Assumptions'!$E$8)</x:f>
        <x:v>109099.9278</x:v>
      </x:c>
      <x:c r="F48" s="126" t="n">
        <x:f>MAX(0,F47*'01_Assumptions'!$E$8)</x:f>
        <x:v>114765.02132399999</x:v>
      </x:c>
      <x:c r="G48" s="126" t="n">
        <x:f>MAX(0,G47*'01_Assumptions'!$E$8)</x:f>
        <x:v>120605.08216752001</x:v>
      </x:c>
      <x:c r="H48" s="126" t="n">
        <x:f>MAX(0,H47*'01_Assumptions'!$E$8)</x:f>
        <x:v>126625.45964042164</x:v>
      </x:c>
      <x:c r="I48" s="287"/>
      <x:c r="J48" s="287"/>
    </x:row>
    <x:row r="49">
      <x:c r="A49" s="52" t="str">
        <x:v>Salvage proceeds after tax</x:v>
      </x:c>
      <x:c r="B49" s="52" t="str">
        <x:v>SEK</x:v>
      </x:c>
      <x:c r="C49" s="126" t="n">
        <x:f>0</x:f>
        <x:v>0</x:v>
      </x:c>
      <x:c r="D49" s="126" t="n">
        <x:f>IF(D$35='01_Assumptions'!$E$6,ABS($C$36)*'01_Assumptions'!$E$35*(1-'01_Assumptions'!$E$8),0)</x:f>
        <x:v>0</x:v>
      </x:c>
      <x:c r="E49" s="126" t="n">
        <x:f>IF(E$35='01_Assumptions'!$E$6,ABS($C$36)*'01_Assumptions'!$E$35*(1-'01_Assumptions'!$E$8),0)</x:f>
        <x:v>0</x:v>
      </x:c>
      <x:c r="F49" s="126" t="n">
        <x:f>IF(F$35='01_Assumptions'!$E$6,ABS($C$36)*'01_Assumptions'!$E$35*(1-'01_Assumptions'!$E$8),0)</x:f>
        <x:v>0</x:v>
      </x:c>
      <x:c r="G49" s="126" t="n">
        <x:f>IF(G$35='01_Assumptions'!$E$6,ABS($C$36)*'01_Assumptions'!$E$35*(1-'01_Assumptions'!$E$8),0)</x:f>
        <x:v>0</x:v>
      </x:c>
      <x:c r="H49" s="126" t="n">
        <x:f>IF(H$35='01_Assumptions'!$E$6,ABS($C$36)*'01_Assumptions'!$E$35*(1-'01_Assumptions'!$E$8),0)</x:f>
        <x:v>68780.25000000001</x:v>
      </x:c>
      <x:c r="I49" s="287"/>
      <x:c r="J49" s="287"/>
    </x:row>
    <x:row r="50">
      <x:c r="A50" s="122" t="str">
        <x:v>After-tax free cash flow</x:v>
      </x:c>
      <x:c r="B50" s="122" t="str">
        <x:v>SEK</x:v>
      </x:c>
      <x:c r="C50" s="132" t="n">
        <x:f>C36</x:f>
        <x:v>-1732500.0000000002</x:v>
      </x:c>
      <x:c r="D50" s="132" t="n">
        <x:f>D45-D48+D49</x:f>
        <x:v>745830.39</x:v>
      </x:c>
      <x:c r="E50" s="132" t="n">
        <x:f>E45-E48+E49</x:f>
        <x:v>767011.3722000001</x:v>
      </x:c>
      <x:c r="F50" s="132" t="n">
        <x:f>F45-F48+F49</x:f>
        <x:v>788846.7326760001</x:v>
      </x:c>
      <x:c r="G50" s="132" t="n">
        <x:f>G45-G48+G49</x:f>
        <x:v>811356.4817524801</x:v>
      </x:c>
      <x:c r="H50" s="132" t="n">
        <x:f>H45-H48+H49</x:f>
        <x:v>903341.4876431786</x:v>
      </x:c>
      <x:c r="I50" s="287"/>
      <x:c r="J50" s="287"/>
    </x:row>
    <x:row r="51">
      <x:c r="A51" s="52" t="str">
        <x:v>Discount factor</x:v>
      </x:c>
      <x:c r="B51" s="52" t="str">
        <x:v>x</x:v>
      </x:c>
      <x:c r="C51" s="134" t="n">
        <x:f>1</x:f>
        <x:v>1</x:v>
      </x:c>
      <x:c r="D51" s="134" t="n">
        <x:f>1/(1+'01_Assumptions'!$E$7)^D$35</x:f>
        <x:v>0.9259259259259258</x:v>
      </x:c>
      <x:c r="E51" s="134" t="n">
        <x:f>1/(1+'01_Assumptions'!$E$7)^E$35</x:f>
        <x:v>0.8573388203017832</x:v>
      </x:c>
      <x:c r="F51" s="134" t="n">
        <x:f>1/(1+'01_Assumptions'!$E$7)^F$35</x:f>
        <x:v>0.7938322410201696</x:v>
      </x:c>
      <x:c r="G51" s="134" t="n">
        <x:f>1/(1+'01_Assumptions'!$E$7)^G$35</x:f>
        <x:v>0.7350298527964533</x:v>
      </x:c>
      <x:c r="H51" s="134" t="n">
        <x:f>1/(1+'01_Assumptions'!$E$7)^H$35</x:f>
        <x:v>0.6805831970337529</x:v>
      </x:c>
      <x:c r="I51" s="287"/>
      <x:c r="J51" s="287"/>
    </x:row>
    <x:row r="52">
      <x:c r="A52" s="52" t="str">
        <x:v>Present value</x:v>
      </x:c>
      <x:c r="B52" s="52" t="str">
        <x:v>SEK</x:v>
      </x:c>
      <x:c r="C52" s="126" t="n">
        <x:f>C50*C51</x:f>
        <x:v>-1732500.0000000002</x:v>
      </x:c>
      <x:c r="D52" s="126" t="n">
        <x:f>D50*D51</x:f>
        <x:v>690583.6944444444</x:v>
      </x:c>
      <x:c r="E52" s="126" t="n">
        <x:f>E50*E51</x:f>
        <x:v>657588.625</x:v>
      </x:c>
      <x:c r="F52" s="126" t="n">
        <x:f>F50*F51</x:f>
        <x:v>626211.9696216278</x:v>
      </x:c>
      <x:c r="G52" s="126" t="n">
        <x:f>G50*G51</x:f>
        <x:v>596371.2353479738</x:v>
      </x:c>
      <x:c r="H52" s="126" t="n">
        <x:f>H50*H51</x:f>
        <x:v>614799.0376734209</x:v>
      </x:c>
      <x:c r="I52" s="287"/>
      <x:c r="J52" s="287"/>
    </x:row>
    <x:row r="53">
      <x:c r="A53" s="53" t="str">
        <x:v>Cumulative cash flow</x:v>
      </x:c>
      <x:c r="B53" s="53" t="str">
        <x:v>SEK</x:v>
      </x:c>
      <x:c r="C53" s="163" t="n">
        <x:f>C50</x:f>
        <x:v>-1732500.0000000002</x:v>
      </x:c>
      <x:c r="D53" s="163" t="n">
        <x:f>C53+D50</x:f>
        <x:v>-986669.6100000002</x:v>
      </x:c>
      <x:c r="E53" s="163" t="n">
        <x:f>D53+E50</x:f>
        <x:v>-219658.23780000012</x:v>
      </x:c>
      <x:c r="F53" s="163" t="n">
        <x:f>E53+F50</x:f>
        <x:v>569188.494876</x:v>
      </x:c>
      <x:c r="G53" s="163" t="n">
        <x:f>F53+G50</x:f>
        <x:v>1380544.97662848</x:v>
      </x:c>
      <x:c r="H53" s="163" t="n">
        <x:f>G53+H50</x:f>
        <x:v>2283886.4642716586</x:v>
      </x:c>
      <x:c r="I53" s="287"/>
      <x:c r="J53" s="287"/>
    </x:row>
    <x:row r="54">
      <x:c r="A54" s="287"/>
      <x:c r="B54" s="287"/>
      <x:c r="C54" s="287"/>
      <x:c r="D54" s="287"/>
      <x:c r="E54" s="287"/>
      <x:c r="F54" s="287"/>
      <x:c r="G54" s="287"/>
      <x:c r="H54" s="287"/>
      <x:c r="I54" s="287"/>
      <x:c r="J54" s="287"/>
    </x:row>
    <x:row r="55">
      <x:c r="A55" s="287"/>
      <x:c r="B55" s="287"/>
      <x:c r="C55" s="287"/>
      <x:c r="D55" s="287"/>
      <x:c r="E55" s="287"/>
      <x:c r="F55" s="287"/>
      <x:c r="G55" s="287"/>
      <x:c r="H55" s="287"/>
      <x:c r="I55" s="287"/>
      <x:c r="J55" s="287"/>
    </x:row>
    <x:row r="56">
      <x:c r="A56" s="287"/>
      <x:c r="B56" s="287"/>
      <x:c r="C56" s="287"/>
      <x:c r="D56" s="287"/>
      <x:c r="E56" s="287"/>
      <x:c r="F56" s="287"/>
      <x:c r="G56" s="287"/>
      <x:c r="H56" s="287"/>
      <x:c r="I56" s="287"/>
      <x:c r="J56" s="287"/>
    </x:row>
    <x:row r="57" ht="22" customHeight="1">
      <x:c r="A57" s="13" t="str">
        <x:v>UPSIDE CASH-FLOW ENGINE</x:v>
      </x:c>
      <x:c r="B57" s="13" t="str">
        <x:v>UPSIDE CASH-FLOW ENGINE</x:v>
      </x:c>
      <x:c r="C57" s="13" t="str">
        <x:v>UPSIDE CASH-FLOW ENGINE</x:v>
      </x:c>
      <x:c r="D57" s="13" t="str">
        <x:v>UPSIDE CASH-FLOW ENGINE</x:v>
      </x:c>
      <x:c r="E57" s="13" t="str">
        <x:v>UPSIDE CASH-FLOW ENGINE</x:v>
      </x:c>
      <x:c r="F57" s="13" t="str">
        <x:v>UPSIDE CASH-FLOW ENGINE</x:v>
      </x:c>
      <x:c r="G57" s="13" t="str">
        <x:v>UPSIDE CASH-FLOW ENGINE</x:v>
      </x:c>
      <x:c r="H57" s="13" t="str">
        <x:v>UPSIDE CASH-FLOW ENGINE</x:v>
      </x:c>
      <x:c r="I57" s="287"/>
      <x:c r="J57" s="287"/>
    </x:row>
    <x:row r="58" ht="28" customHeight="1">
      <x:c r="A58" s="46" t="str">
        <x:v>Metric</x:v>
      </x:c>
      <x:c r="B58" s="46" t="str">
        <x:v>Unit</x:v>
      </x:c>
      <x:c r="C58" s="111" t="n">
        <x:v>0</x:v>
      </x:c>
      <x:c r="D58" s="111" t="n">
        <x:v>1</x:v>
      </x:c>
      <x:c r="E58" s="111" t="n">
        <x:v>2</x:v>
      </x:c>
      <x:c r="F58" s="111" t="n">
        <x:v>3</x:v>
      </x:c>
      <x:c r="G58" s="111" t="n">
        <x:v>4</x:v>
      </x:c>
      <x:c r="H58" s="111" t="n">
        <x:v>5</x:v>
      </x:c>
      <x:c r="I58" s="287"/>
      <x:c r="J58" s="287"/>
    </x:row>
    <x:row r="59">
      <x:c r="A59" s="51" t="str">
        <x:v>Installed capex</x:v>
      </x:c>
      <x:c r="B59" s="51" t="str">
        <x:v>SEK</x:v>
      </x:c>
      <x:c r="C59" s="125" t="n">
        <x:f>-SUM('01_Assumptions'!$F$25:$F$29)*(1+'01_Assumptions'!$F$30)</x:f>
        <x:v>-1396500</x:v>
      </x:c>
      <x:c r="D59" s="125" t="n">
        <x:f>0</x:f>
        <x:v>0</x:v>
      </x:c>
      <x:c r="E59" s="125" t="n">
        <x:f>0</x:f>
        <x:v>0</x:v>
      </x:c>
      <x:c r="F59" s="125" t="n">
        <x:f>0</x:f>
        <x:v>0</x:v>
      </x:c>
      <x:c r="G59" s="125" t="n">
        <x:f>0</x:f>
        <x:v>0</x:v>
      </x:c>
      <x:c r="H59" s="125" t="n">
        <x:f>0</x:f>
        <x:v>0</x:v>
      </x:c>
      <x:c r="I59" s="287"/>
      <x:c r="J59" s="287"/>
    </x:row>
    <x:row r="60">
      <x:c r="A60" s="52" t="str">
        <x:v>Addressable labor hours</x:v>
      </x:c>
      <x:c r="B60" s="52" t="str">
        <x:v>hours/year</x:v>
      </x:c>
      <x:c r="C60" s="126" t="n">
        <x:f>0</x:f>
        <x:v>0</x:v>
      </x:c>
      <x:c r="D60" s="126" t="n">
        <x:f>'01_Assumptions'!$F$10*'01_Assumptions'!$F$11*'01_Assumptions'!$F$12*'01_Assumptions'!$F$13</x:f>
        <x:v>5775</x:v>
      </x:c>
      <x:c r="E60" s="126" t="n">
        <x:f>'01_Assumptions'!$F$10*'01_Assumptions'!$F$11*'01_Assumptions'!$F$12*'01_Assumptions'!$F$13</x:f>
        <x:v>5775</x:v>
      </x:c>
      <x:c r="F60" s="126" t="n">
        <x:f>'01_Assumptions'!$F$10*'01_Assumptions'!$F$11*'01_Assumptions'!$F$12*'01_Assumptions'!$F$13</x:f>
        <x:v>5775</x:v>
      </x:c>
      <x:c r="G60" s="126" t="n">
        <x:f>'01_Assumptions'!$F$10*'01_Assumptions'!$F$11*'01_Assumptions'!$F$12*'01_Assumptions'!$F$13</x:f>
        <x:v>5775</x:v>
      </x:c>
      <x:c r="H60" s="126" t="n">
        <x:f>'01_Assumptions'!$F$10*'01_Assumptions'!$F$11*'01_Assumptions'!$F$12*'01_Assumptions'!$F$13</x:f>
        <x:v>5775</x:v>
      </x:c>
      <x:c r="I60" s="287"/>
      <x:c r="J60" s="287"/>
    </x:row>
    <x:row r="61">
      <x:c r="A61" s="52" t="str">
        <x:v>Loaded labor cost</x:v>
      </x:c>
      <x:c r="B61" s="52" t="str">
        <x:v>SEK/hour</x:v>
      </x:c>
      <x:c r="C61" s="133" t="n">
        <x:f>0</x:f>
        <x:v>0</x:v>
      </x:c>
      <x:c r="D61" s="133" t="n">
        <x:f>'01_Assumptions'!$F$17*(1+'01_Assumptions'!$F$16)^(D$58-1)</x:f>
        <x:v>510</x:v>
      </x:c>
      <x:c r="E61" s="133" t="n">
        <x:f>'01_Assumptions'!$F$17*(1+'01_Assumptions'!$F$16)^(E$58-1)</x:f>
        <x:v>530.4</x:v>
      </x:c>
      <x:c r="F61" s="133" t="n">
        <x:f>'01_Assumptions'!$F$17*(1+'01_Assumptions'!$F$16)^(F$58-1)</x:f>
        <x:v>551.6160000000001</x:v>
      </x:c>
      <x:c r="G61" s="133" t="n">
        <x:f>'01_Assumptions'!$F$17*(1+'01_Assumptions'!$F$16)^(G$58-1)</x:f>
        <x:v>573.68064</x:v>
      </x:c>
      <x:c r="H61" s="133" t="n">
        <x:f>'01_Assumptions'!$F$17*(1+'01_Assumptions'!$F$16)^(H$58-1)</x:f>
        <x:v>596.6278656000001</x:v>
      </x:c>
      <x:c r="I61" s="287"/>
      <x:c r="J61" s="287"/>
    </x:row>
    <x:row r="62">
      <x:c r="A62" s="52" t="str">
        <x:v>Gross labor cost addressed</x:v>
      </x:c>
      <x:c r="B62" s="52" t="str">
        <x:v>SEK</x:v>
      </x:c>
      <x:c r="C62" s="126" t="n">
        <x:f>0</x:f>
        <x:v>0</x:v>
      </x:c>
      <x:c r="D62" s="126" t="n">
        <x:f>D60*D61</x:f>
        <x:v>2945250</x:v>
      </x:c>
      <x:c r="E62" s="126" t="n">
        <x:f>E60*E61</x:f>
        <x:v>3063060</x:v>
      </x:c>
      <x:c r="F62" s="126" t="n">
        <x:f>F60*F61</x:f>
        <x:v>3185582.4000000004</x:v>
      </x:c>
      <x:c r="G62" s="126" t="n">
        <x:f>G60*G61</x:f>
        <x:v>3313005.696</x:v>
      </x:c>
      <x:c r="H62" s="126" t="n">
        <x:f>H60*H61</x:f>
        <x:v>3445525.9238400003</x:v>
      </x:c>
      <x:c r="I62" s="287"/>
      <x:c r="J62" s="287"/>
    </x:row>
    <x:row r="63">
      <x:c r="A63" s="52" t="str">
        <x:v>Realized labor savings</x:v>
      </x:c>
      <x:c r="B63" s="52" t="str">
        <x:v>SEK</x:v>
      </x:c>
      <x:c r="C63" s="126" t="n">
        <x:f>0</x:f>
        <x:v>0</x:v>
      </x:c>
      <x:c r="D63" s="126" t="n">
        <x:f>D62*'01_Assumptions'!$F$14*'01_Assumptions'!$F$15</x:f>
        <x:v>2403324</x:v>
      </x:c>
      <x:c r="E63" s="126" t="n">
        <x:f>E62*'01_Assumptions'!$F$14*'01_Assumptions'!$F$15</x:f>
        <x:v>2499456.96</x:v>
      </x:c>
      <x:c r="F63" s="126" t="n">
        <x:f>F62*'01_Assumptions'!$F$14*'01_Assumptions'!$F$15</x:f>
        <x:v>2599435.2384</x:v>
      </x:c>
      <x:c r="G63" s="126" t="n">
        <x:f>G62*'01_Assumptions'!$F$14*'01_Assumptions'!$F$15</x:f>
        <x:v>2703412.647936</x:v>
      </x:c>
      <x:c r="H63" s="126" t="n">
        <x:f>H62*'01_Assumptions'!$F$14*'01_Assumptions'!$F$15</x:f>
        <x:v>2811549.15385344</x:v>
      </x:c>
      <x:c r="I63" s="287"/>
      <x:c r="J63" s="287"/>
    </x:row>
    <x:row r="64">
      <x:c r="A64" s="52" t="str">
        <x:v>Other quantified benefits</x:v>
      </x:c>
      <x:c r="B64" s="52" t="str">
        <x:v>SEK</x:v>
      </x:c>
      <x:c r="C64" s="126" t="n">
        <x:f>0</x:f>
        <x:v>0</x:v>
      </x:c>
      <x:c r="D64" s="126" t="n">
        <x:f>'01_Assumptions'!$F$36*(1+'01_Assumptions'!$F$34)^(D$58-1)</x:f>
        <x:v>0</x:v>
      </x:c>
      <x:c r="E64" s="126" t="n">
        <x:f>'01_Assumptions'!$F$36*(1+'01_Assumptions'!$F$34)^(E$58-1)</x:f>
        <x:v>0</x:v>
      </x:c>
      <x:c r="F64" s="126" t="n">
        <x:f>'01_Assumptions'!$F$36*(1+'01_Assumptions'!$F$34)^(F$58-1)</x:f>
        <x:v>0</x:v>
      </x:c>
      <x:c r="G64" s="126" t="n">
        <x:f>'01_Assumptions'!$F$36*(1+'01_Assumptions'!$F$34)^(G$58-1)</x:f>
        <x:v>0</x:v>
      </x:c>
      <x:c r="H64" s="126" t="n">
        <x:f>'01_Assumptions'!$F$36*(1+'01_Assumptions'!$F$34)^(H$58-1)</x:f>
        <x:v>0</x:v>
      </x:c>
      <x:c r="I64" s="287"/>
      <x:c r="J64" s="287"/>
    </x:row>
    <x:row r="65">
      <x:c r="A65" s="52" t="str">
        <x:v>Maintenance</x:v>
      </x:c>
      <x:c r="B65" s="52" t="str">
        <x:v>SEK</x:v>
      </x:c>
      <x:c r="C65" s="126" t="n">
        <x:f>0</x:f>
        <x:v>0</x:v>
      </x:c>
      <x:c r="D65" s="126" t="n">
        <x:f>ABS($C$59)*'01_Assumptions'!$F$31*(1+'01_Assumptions'!$F$34)^(D$58-1)</x:f>
        <x:v>55860</x:v>
      </x:c>
      <x:c r="E65" s="126" t="n">
        <x:f>ABS($C$59)*'01_Assumptions'!$F$31*(1+'01_Assumptions'!$F$34)^(E$58-1)</x:f>
        <x:v>56418.6</x:v>
      </x:c>
      <x:c r="F65" s="126" t="n">
        <x:f>ABS($C$59)*'01_Assumptions'!$F$31*(1+'01_Assumptions'!$F$34)^(F$58-1)</x:f>
        <x:v>56982.786</x:v>
      </x:c>
      <x:c r="G65" s="126" t="n">
        <x:f>ABS($C$59)*'01_Assumptions'!$F$31*(1+'01_Assumptions'!$F$34)^(G$58-1)</x:f>
        <x:v>57552.613860000005</x:v>
      </x:c>
      <x:c r="H65" s="126" t="n">
        <x:f>ABS($C$59)*'01_Assumptions'!$F$31*(1+'01_Assumptions'!$F$34)^(H$58-1)</x:f>
        <x:v>58128.1399986</x:v>
      </x:c>
      <x:c r="I65" s="287"/>
      <x:c r="J65" s="287"/>
    </x:row>
    <x:row r="66">
      <x:c r="A66" s="52" t="str">
        <x:v>Software and service</x:v>
      </x:c>
      <x:c r="B66" s="52" t="str">
        <x:v>SEK</x:v>
      </x:c>
      <x:c r="C66" s="126" t="n">
        <x:f>0</x:f>
        <x:v>0</x:v>
      </x:c>
      <x:c r="D66" s="126" t="n">
        <x:f>'01_Assumptions'!$F$32*(1+'01_Assumptions'!$F$34)^(D$58-1)</x:f>
        <x:v>20000</x:v>
      </x:c>
      <x:c r="E66" s="126" t="n">
        <x:f>'01_Assumptions'!$F$32*(1+'01_Assumptions'!$F$34)^(E$58-1)</x:f>
        <x:v>20200</x:v>
      </x:c>
      <x:c r="F66" s="126" t="n">
        <x:f>'01_Assumptions'!$F$32*(1+'01_Assumptions'!$F$34)^(F$58-1)</x:f>
        <x:v>20402</x:v>
      </x:c>
      <x:c r="G66" s="126" t="n">
        <x:f>'01_Assumptions'!$F$32*(1+'01_Assumptions'!$F$34)^(G$58-1)</x:f>
        <x:v>20606.020000000004</x:v>
      </x:c>
      <x:c r="H66" s="126" t="n">
        <x:f>'01_Assumptions'!$F$32*(1+'01_Assumptions'!$F$34)^(H$58-1)</x:f>
        <x:v>20812.0802</x:v>
      </x:c>
      <x:c r="I66" s="287"/>
      <x:c r="J66" s="287"/>
    </x:row>
    <x:row r="67">
      <x:c r="A67" s="52" t="str">
        <x:v>Electricity</x:v>
      </x:c>
      <x:c r="B67" s="52" t="str">
        <x:v>SEK</x:v>
      </x:c>
      <x:c r="C67" s="126" t="n">
        <x:f>0</x:f>
        <x:v>0</x:v>
      </x:c>
      <x:c r="D67" s="126" t="n">
        <x:f>'01_Assumptions'!$F$10*'01_Assumptions'!$F$11*'01_Assumptions'!$F$12*'01_Assumptions'!$F$24*'01_Assumptions'!$F$33*(1+'01_Assumptions'!$F$34)^(D$58-1)</x:f>
        <x:v>1732.5</x:v>
      </x:c>
      <x:c r="E67" s="126" t="n">
        <x:f>'01_Assumptions'!$F$10*'01_Assumptions'!$F$11*'01_Assumptions'!$F$12*'01_Assumptions'!$F$24*'01_Assumptions'!$F$33*(1+'01_Assumptions'!$F$34)^(E$58-1)</x:f>
        <x:v>1749.825</x:v>
      </x:c>
      <x:c r="F67" s="126" t="n">
        <x:f>'01_Assumptions'!$F$10*'01_Assumptions'!$F$11*'01_Assumptions'!$F$12*'01_Assumptions'!$F$24*'01_Assumptions'!$F$33*(1+'01_Assumptions'!$F$34)^(F$58-1)</x:f>
        <x:v>1767.32325</x:v>
      </x:c>
      <x:c r="G67" s="126" t="n">
        <x:f>'01_Assumptions'!$F$10*'01_Assumptions'!$F$11*'01_Assumptions'!$F$12*'01_Assumptions'!$F$24*'01_Assumptions'!$F$33*(1+'01_Assumptions'!$F$34)^(G$58-1)</x:f>
        <x:v>1784.9964825000002</x:v>
      </x:c>
      <x:c r="H67" s="126" t="n">
        <x:f>'01_Assumptions'!$F$10*'01_Assumptions'!$F$11*'01_Assumptions'!$F$12*'01_Assumptions'!$F$24*'01_Assumptions'!$F$33*(1+'01_Assumptions'!$F$34)^(H$58-1)</x:f>
        <x:v>1802.846447325</x:v>
      </x:c>
      <x:c r="I67" s="287"/>
      <x:c r="J67" s="287"/>
    </x:row>
    <x:row r="68">
      <x:c r="A68" s="52" t="str">
        <x:v>Incremental EBITDA</x:v>
      </x:c>
      <x:c r="B68" s="52" t="str">
        <x:v>SEK</x:v>
      </x:c>
      <x:c r="C68" s="126" t="n">
        <x:f>0</x:f>
        <x:v>0</x:v>
      </x:c>
      <x:c r="D68" s="126" t="n">
        <x:f>D63+D64-SUM(D65:D67)</x:f>
        <x:v>2325731.5</x:v>
      </x:c>
      <x:c r="E68" s="126" t="n">
        <x:f>E63+E64-SUM(E65:E67)</x:f>
        <x:v>2421088.535</x:v>
      </x:c>
      <x:c r="F68" s="126" t="n">
        <x:f>F63+F64-SUM(F65:F67)</x:f>
        <x:v>2520283.12915</x:v>
      </x:c>
      <x:c r="G68" s="126" t="n">
        <x:f>G63+G64-SUM(G65:G67)</x:f>
        <x:v>2623469.0175935</x:v>
      </x:c>
      <x:c r="H68" s="126" t="n">
        <x:f>H63+H64-SUM(H65:H67)</x:f>
        <x:v>2730806.0872075153</x:v>
      </x:c>
      <x:c r="I68" s="287"/>
      <x:c r="J68" s="287"/>
    </x:row>
    <x:row r="69">
      <x:c r="A69" s="52" t="str">
        <x:v>Depreciation</x:v>
      </x:c>
      <x:c r="B69" s="52" t="str">
        <x:v>SEK</x:v>
      </x:c>
      <x:c r="C69" s="126" t="n">
        <x:f>0</x:f>
        <x:v>0</x:v>
      </x:c>
      <x:c r="D69" s="126" t="n">
        <x:f>ABS($C$59)/'01_Assumptions'!$F$9</x:f>
        <x:v>279300</x:v>
      </x:c>
      <x:c r="E69" s="126" t="n">
        <x:f>ABS($C$59)/'01_Assumptions'!$F$9</x:f>
        <x:v>279300</x:v>
      </x:c>
      <x:c r="F69" s="126" t="n">
        <x:f>ABS($C$59)/'01_Assumptions'!$F$9</x:f>
        <x:v>279300</x:v>
      </x:c>
      <x:c r="G69" s="126" t="n">
        <x:f>ABS($C$59)/'01_Assumptions'!$F$9</x:f>
        <x:v>279300</x:v>
      </x:c>
      <x:c r="H69" s="126" t="n">
        <x:f>ABS($C$59)/'01_Assumptions'!$F$9</x:f>
        <x:v>279300</x:v>
      </x:c>
      <x:c r="I69" s="287"/>
      <x:c r="J69" s="287"/>
    </x:row>
    <x:row r="70">
      <x:c r="A70" s="52" t="str">
        <x:v>Incremental EBIT</x:v>
      </x:c>
      <x:c r="B70" s="52" t="str">
        <x:v>SEK</x:v>
      </x:c>
      <x:c r="C70" s="126" t="n">
        <x:f>0</x:f>
        <x:v>0</x:v>
      </x:c>
      <x:c r="D70" s="126" t="n">
        <x:f>D68-D69</x:f>
        <x:v>2046431.5</x:v>
      </x:c>
      <x:c r="E70" s="126" t="n">
        <x:f>E68-E69</x:f>
        <x:v>2141788.535</x:v>
      </x:c>
      <x:c r="F70" s="126" t="n">
        <x:f>F68-F69</x:f>
        <x:v>2240983.12915</x:v>
      </x:c>
      <x:c r="G70" s="126" t="n">
        <x:f>G68-G69</x:f>
        <x:v>2344169.0175935</x:v>
      </x:c>
      <x:c r="H70" s="126" t="n">
        <x:f>H68-H69</x:f>
        <x:v>2451506.0872075153</x:v>
      </x:c>
      <x:c r="I70" s="287"/>
      <x:c r="J70" s="287"/>
    </x:row>
    <x:row r="71">
      <x:c r="A71" s="52" t="str">
        <x:v>Cash tax</x:v>
      </x:c>
      <x:c r="B71" s="52" t="str">
        <x:v>SEK</x:v>
      </x:c>
      <x:c r="C71" s="126" t="n">
        <x:f>0</x:f>
        <x:v>0</x:v>
      </x:c>
      <x:c r="D71" s="126" t="n">
        <x:f>MAX(0,D70*'01_Assumptions'!$F$8)</x:f>
        <x:v>421564.88899999997</x:v>
      </x:c>
      <x:c r="E71" s="126" t="n">
        <x:f>MAX(0,E70*'01_Assumptions'!$F$8)</x:f>
        <x:v>441208.43821</x:v>
      </x:c>
      <x:c r="F71" s="126" t="n">
        <x:f>MAX(0,F70*'01_Assumptions'!$F$8)</x:f>
        <x:v>461642.5246049</x:v>
      </x:c>
      <x:c r="G71" s="126" t="n">
        <x:f>MAX(0,G70*'01_Assumptions'!$F$8)</x:f>
        <x:v>482898.817624261</x:v>
      </x:c>
      <x:c r="H71" s="126" t="n">
        <x:f>MAX(0,H70*'01_Assumptions'!$F$8)</x:f>
        <x:v>505010.2539647481</x:v>
      </x:c>
      <x:c r="I71" s="287"/>
      <x:c r="J71" s="287"/>
    </x:row>
    <x:row r="72">
      <x:c r="A72" s="52" t="str">
        <x:v>Salvage proceeds after tax</x:v>
      </x:c>
      <x:c r="B72" s="52" t="str">
        <x:v>SEK</x:v>
      </x:c>
      <x:c r="C72" s="126" t="n">
        <x:f>0</x:f>
        <x:v>0</x:v>
      </x:c>
      <x:c r="D72" s="126" t="n">
        <x:f>IF(D$58='01_Assumptions'!$F$6,ABS($C$59)*'01_Assumptions'!$F$35*(1-'01_Assumptions'!$F$8),0)</x:f>
        <x:v>0</x:v>
      </x:c>
      <x:c r="E72" s="126" t="n">
        <x:f>IF(E$58='01_Assumptions'!$F$6,ABS($C$59)*'01_Assumptions'!$F$35*(1-'01_Assumptions'!$F$8),0)</x:f>
        <x:v>0</x:v>
      </x:c>
      <x:c r="F72" s="126" t="n">
        <x:f>IF(F$58='01_Assumptions'!$F$6,ABS($C$59)*'01_Assumptions'!$F$35*(1-'01_Assumptions'!$F$8),0)</x:f>
        <x:v>0</x:v>
      </x:c>
      <x:c r="G72" s="126" t="n">
        <x:f>IF(G$58='01_Assumptions'!$F$6,ABS($C$59)*'01_Assumptions'!$F$35*(1-'01_Assumptions'!$F$8),0)</x:f>
        <x:v>0</x:v>
      </x:c>
      <x:c r="H72" s="126" t="n">
        <x:f>IF(H$58='01_Assumptions'!$F$6,ABS($C$59)*'01_Assumptions'!$F$35*(1-'01_Assumptions'!$F$8),0)</x:f>
        <x:v>110882.1</x:v>
      </x:c>
      <x:c r="I72" s="287"/>
      <x:c r="J72" s="287"/>
    </x:row>
    <x:row r="73">
      <x:c r="A73" s="122" t="str">
        <x:v>After-tax free cash flow</x:v>
      </x:c>
      <x:c r="B73" s="122" t="str">
        <x:v>SEK</x:v>
      </x:c>
      <x:c r="C73" s="132" t="n">
        <x:f>C59</x:f>
        <x:v>-1396500</x:v>
      </x:c>
      <x:c r="D73" s="132" t="n">
        <x:f>D68-D71+D72</x:f>
        <x:v>1904166.611</x:v>
      </x:c>
      <x:c r="E73" s="132" t="n">
        <x:f>E68-E71+E72</x:f>
        <x:v>1979880.09679</x:v>
      </x:c>
      <x:c r="F73" s="132" t="n">
        <x:f>F68-F71+F72</x:f>
        <x:v>2058640.6045451</x:v>
      </x:c>
      <x:c r="G73" s="132" t="n">
        <x:f>G68-G71+G72</x:f>
        <x:v>2140570.199969239</x:v>
      </x:c>
      <x:c r="H73" s="132" t="n">
        <x:f>H68-H71+H72</x:f>
        <x:v>2336677.933242767</x:v>
      </x:c>
      <x:c r="I73" s="287"/>
      <x:c r="J73" s="287"/>
    </x:row>
    <x:row r="74">
      <x:c r="A74" s="52" t="str">
        <x:v>Discount factor</x:v>
      </x:c>
      <x:c r="B74" s="52" t="str">
        <x:v>x</x:v>
      </x:c>
      <x:c r="C74" s="134" t="n">
        <x:f>1</x:f>
        <x:v>1</x:v>
      </x:c>
      <x:c r="D74" s="134" t="n">
        <x:f>1/(1+'01_Assumptions'!$F$7)^D$58</x:f>
        <x:v>0.9433962264150942</x:v>
      </x:c>
      <x:c r="E74" s="134" t="n">
        <x:f>1/(1+'01_Assumptions'!$F$7)^E$58</x:f>
        <x:v>0.8899964400142398</x:v>
      </x:c>
      <x:c r="F74" s="134" t="n">
        <x:f>1/(1+'01_Assumptions'!$F$7)^F$58</x:f>
        <x:v>0.8396192830323018</x:v>
      </x:c>
      <x:c r="G74" s="134" t="n">
        <x:f>1/(1+'01_Assumptions'!$F$7)^G$58</x:f>
        <x:v>0.7920936632380204</x:v>
      </x:c>
      <x:c r="H74" s="134" t="n">
        <x:f>1/(1+'01_Assumptions'!$F$7)^H$58</x:f>
        <x:v>0.747258172866057</x:v>
      </x:c>
      <x:c r="I74" s="287"/>
      <x:c r="J74" s="287"/>
    </x:row>
    <x:row r="75">
      <x:c r="A75" s="52" t="str">
        <x:v>Present value</x:v>
      </x:c>
      <x:c r="B75" s="52" t="str">
        <x:v>SEK</x:v>
      </x:c>
      <x:c r="C75" s="126" t="n">
        <x:f>C73*C74</x:f>
        <x:v>-1396500</x:v>
      </x:c>
      <x:c r="D75" s="126" t="n">
        <x:f>D73*D74</x:f>
        <x:v>1796383.5952830187</x:v>
      </x:c>
      <x:c r="E75" s="126" t="n">
        <x:f>E73*E74</x:f>
        <x:v>1762086.2377981488</x:v>
      </x:c>
      <x:c r="F75" s="126" t="n">
        <x:f>F73*F74</x:f>
        <x:v>1728474.3484093412</x:v>
      </x:c>
      <x:c r="G75" s="126" t="n">
        <x:f>G73*G74</x:f>
        <x:v>1695532.0911117764</x:v>
      </x:c>
      <x:c r="H75" s="126" t="n">
        <x:f>H73*H74</x:f>
        <x:v>1746101.6829714244</x:v>
      </x:c>
      <x:c r="I75" s="287"/>
      <x:c r="J75" s="287"/>
    </x:row>
    <x:row r="76">
      <x:c r="A76" s="53" t="str">
        <x:v>Cumulative cash flow</x:v>
      </x:c>
      <x:c r="B76" s="53" t="str">
        <x:v>SEK</x:v>
      </x:c>
      <x:c r="C76" s="163" t="n">
        <x:f>C73</x:f>
        <x:v>-1396500</x:v>
      </x:c>
      <x:c r="D76" s="163" t="n">
        <x:f>C76+D73</x:f>
        <x:v>507666.61100000003</x:v>
      </x:c>
      <x:c r="E76" s="163" t="n">
        <x:f>D76+E73</x:f>
        <x:v>2487546.7077900004</x:v>
      </x:c>
      <x:c r="F76" s="163" t="n">
        <x:f>E76+F73</x:f>
        <x:v>4546187.3123351</x:v>
      </x:c>
      <x:c r="G76" s="163" t="n">
        <x:f>F76+G73</x:f>
        <x:v>6686757.51230434</x:v>
      </x:c>
      <x:c r="H76" s="163" t="n">
        <x:f>G76+H73</x:f>
        <x:v>9023435.445547108</x:v>
      </x:c>
      <x:c r="I76" s="287"/>
      <x:c r="J76" s="287"/>
    </x:row>
  </x:sheetData>
  <x:mergeCells>
    <x:mergeCell ref="A1:J1"/>
    <x:mergeCell ref="A2:J2"/>
    <x:mergeCell ref="A11:H11"/>
    <x:mergeCell ref="A34:H34"/>
    <x:mergeCell ref="A57:H57"/>
  </x:mergeCells>
  <x:conditionalFormatting sqref="J5:J7">
    <x:cfRule type="containsText" dxfId="3" priority="1" operator="containsText" text="INVEST"/>
    <x:cfRule type="containsText" dxfId="4" priority="2" operator="containsText" text="PILOT"/>
    <x:cfRule type="containsText" dxfId="5" priority="3" operator="containsText" text="RETAIN"/>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 hidden="0" customWidth="1"/>
  </x:cols>
  <x:sheetData>
    <x:row r="1" ht="32" customHeight="1">
      <x:c r="A1" s="4" t="str">
        <x:v>04 | Operating-Condition Sensitivity</x:v>
      </x:c>
      <x:c r="B1" s="4" t="str">
        <x:v>04 | Operating-Condition Sensitivity</x:v>
      </x:c>
      <x:c r="C1" s="4" t="str">
        <x:v>04 | Operating-Condition Sensitivity</x:v>
      </x:c>
      <x:c r="D1" s="4" t="str">
        <x:v>04 | Operating-Condition Sensitivity</x:v>
      </x:c>
      <x:c r="E1" s="4" t="str">
        <x:v>04 | Operating-Condition Sensitivity</x:v>
      </x:c>
      <x:c r="F1" s="4" t="str">
        <x:v>04 | Operating-Condition Sensitivity</x:v>
      </x:c>
      <x:c r="G1" s="4" t="str">
        <x:v>04 | Operating-Condition Sensitivity</x:v>
      </x:c>
      <x:c r="H1" s="4" t="str">
        <x:v>04 | Operating-Condition Sensitivity</x:v>
      </x:c>
      <x:c r="I1" s="4" t="str">
        <x:v>04 | Operating-Condition Sensitivity</x:v>
      </x:c>
      <x:c r="J1" s="4" t="str">
        <x:v>04 | Operating-Condition Sensitivity</x:v>
      </x:c>
    </x:row>
    <x:row r="2" ht="28" customHeight="1">
      <x:c r="A2" s="9" t="str">
        <x:v>Base-case assumptions except for shifts per day and loaded labor cost. Each cell fully recalculates five-year NPV.</x:v>
      </x:c>
      <x:c r="B2" s="9" t="str">
        <x:v>Base-case assumptions except for shifts per day and loaded labor cost. Each cell fully recalculates five-year NPV.</x:v>
      </x:c>
      <x:c r="C2" s="9" t="str">
        <x:v>Base-case assumptions except for shifts per day and loaded labor cost. Each cell fully recalculates five-year NPV.</x:v>
      </x:c>
      <x:c r="D2" s="9" t="str">
        <x:v>Base-case assumptions except for shifts per day and loaded labor cost. Each cell fully recalculates five-year NPV.</x:v>
      </x:c>
      <x:c r="E2" s="9" t="str">
        <x:v>Base-case assumptions except for shifts per day and loaded labor cost. Each cell fully recalculates five-year NPV.</x:v>
      </x:c>
      <x:c r="F2" s="9" t="str">
        <x:v>Base-case assumptions except for shifts per day and loaded labor cost. Each cell fully recalculates five-year NPV.</x:v>
      </x:c>
      <x:c r="G2" s="9" t="str">
        <x:v>Base-case assumptions except for shifts per day and loaded labor cost. Each cell fully recalculates five-year NPV.</x:v>
      </x:c>
      <x:c r="H2" s="9" t="str">
        <x:v>Base-case assumptions except for shifts per day and loaded labor cost. Each cell fully recalculates five-year NPV.</x:v>
      </x:c>
      <x:c r="I2" s="9" t="str">
        <x:v>Base-case assumptions except for shifts per day and loaded labor cost. Each cell fully recalculates five-year NPV.</x:v>
      </x:c>
      <x:c r="J2" s="9" t="str">
        <x:v>Base-case assumptions except for shifts per day and loaded labor cost. Each cell fully recalculates five-year NPV.</x:v>
      </x:c>
    </x:row>
    <x:row r="3">
      <x:c r="A3" s="287"/>
      <x:c r="B3" s="287"/>
      <x:c r="C3" s="287"/>
      <x:c r="D3" s="287"/>
      <x:c r="E3" s="287"/>
      <x:c r="F3" s="287"/>
      <x:c r="G3" s="287"/>
      <x:c r="H3" s="287"/>
      <x:c r="I3" s="287"/>
      <x:c r="J3" s="287"/>
    </x:row>
    <x:row r="4" ht="22" customHeight="1">
      <x:c r="A4" s="13" t="str">
        <x:v>NPV SENSITIVITY — SHIFTS PER DAY × LOADED LABOR COST</x:v>
      </x:c>
      <x:c r="B4" s="13" t="str">
        <x:v>NPV SENSITIVITY — SHIFTS PER DAY × LOADED LABOR COST</x:v>
      </x:c>
      <x:c r="C4" s="13" t="str">
        <x:v>NPV SENSITIVITY — SHIFTS PER DAY × LOADED LABOR COST</x:v>
      </x:c>
      <x:c r="D4" s="13" t="str">
        <x:v>NPV SENSITIVITY — SHIFTS PER DAY × LOADED LABOR COST</x:v>
      </x:c>
      <x:c r="E4" s="13" t="str">
        <x:v>NPV SENSITIVITY — SHIFTS PER DAY × LOADED LABOR COST</x:v>
      </x:c>
      <x:c r="F4" s="13" t="str">
        <x:v>NPV SENSITIVITY — SHIFTS PER DAY × LOADED LABOR COST</x:v>
      </x:c>
      <x:c r="G4" s="287"/>
      <x:c r="H4" s="287"/>
      <x:c r="I4" s="287"/>
      <x:c r="J4" s="287"/>
    </x:row>
    <x:row r="5" ht="28" customHeight="1">
      <x:c r="A5" s="46" t="str">
        <x:v>Shifts / day</x:v>
      </x:c>
      <x:c r="B5" s="46" t="n">
        <x:v>350</x:v>
      </x:c>
      <x:c r="C5" s="46" t="n">
        <x:v>400</x:v>
      </x:c>
      <x:c r="D5" s="46" t="n">
        <x:v>450</x:v>
      </x:c>
      <x:c r="E5" s="46" t="n">
        <x:v>500</x:v>
      </x:c>
      <x:c r="F5" s="46" t="n">
        <x:v>550</x:v>
      </x:c>
      <x:c r="G5" s="287"/>
      <x:c r="H5" s="287"/>
      <x:c r="I5" s="287"/>
      <x:c r="J5" s="287"/>
    </x:row>
    <x:row r="6">
      <x:c r="A6" s="306" t="n">
        <x:v>1</x:v>
      </x:c>
      <x:c r="B6" s="318" t="n">
        <x:f>I21</x:f>
        <x:v>-584487.0252567139</x:v>
      </x:c>
      <x:c r="C6" s="318" t="n">
        <x:f>I22</x:f>
        <x:v>-358805.7013506775</x:v>
      </x:c>
      <x:c r="D6" s="318" t="n">
        <x:f>I23</x:f>
        <x:v>-165641.86369951675</x:v>
      </x:c>
      <x:c r="E6" s="318" t="n">
        <x:f>I24</x:f>
        <x:v>14706.728318250738</x:v>
      </x:c>
      <x:c r="F6" s="318" t="n">
        <x:f>I25</x:f>
        <x:v>195055.32033601846</x:v>
      </x:c>
      <x:c r="G6" s="287"/>
      <x:c r="H6" s="287"/>
      <x:c r="I6" s="287"/>
      <x:c r="J6" s="287"/>
    </x:row>
    <x:row r="7">
      <x:c r="A7" s="306" t="n">
        <x:v>1.5</x:v>
      </x:c>
      <x:c r="B7" s="318" t="n">
        <x:f>I26</x:f>
        <x:v>102660.57314067264</x:v>
      </x:c>
      <x:c r="C7" s="318" t="n">
        <x:f>I27</x:f>
        <x:v>373183.46116732364</x:v>
      </x:c>
      <x:c r="D7" s="318" t="n">
        <x:f>I28</x:f>
        <x:v>643706.3491939746</x:v>
      </x:c>
      <x:c r="E7" s="318" t="n">
        <x:f>I29</x:f>
        <x:v>914229.2372206261</x:v>
      </x:c>
      <x:c r="F7" s="318" t="n">
        <x:f>I30</x:f>
        <x:v>1184752.125247277</x:v>
      </x:c>
      <x:c r="G7" s="287"/>
      <x:c r="H7" s="287"/>
      <x:c r="I7" s="287"/>
      <x:c r="J7" s="287"/>
    </x:row>
    <x:row r="8">
      <x:c r="A8" s="306" t="n">
        <x:v>2</x:v>
      </x:c>
      <x:c r="B8" s="318" t="n">
        <x:f>I31</x:f>
        <x:v>731660.1940163968</x:v>
      </x:c>
      <x:c r="C8" s="318" t="n">
        <x:f>I32</x:f>
        <x:v>1092357.3780519317</x:v>
      </x:c>
      <x:c r="D8" s="318" t="n">
        <x:f>I33</x:f>
        <x:v>1453054.5620874662</x:v>
      </x:c>
      <x:c r="E8" s="318" t="n">
        <x:f>I34</x:f>
        <x:v>1813751.7461230017</x:v>
      </x:c>
      <x:c r="F8" s="318" t="n">
        <x:f>I35</x:f>
        <x:v>2174448.930158536</x:v>
      </x:c>
      <x:c r="G8" s="287"/>
      <x:c r="H8" s="287"/>
      <x:c r="I8" s="287"/>
      <x:c r="J8" s="287"/>
    </x:row>
    <x:row r="9">
      <x:c r="A9" s="306" t="n">
        <x:v>2.5</x:v>
      </x:c>
      <x:c r="B9" s="318" t="n">
        <x:f>I36</x:f>
        <x:v>1360659.8148921214</x:v>
      </x:c>
      <x:c r="C9" s="318" t="n">
        <x:f>I37</x:f>
        <x:v>1811531.2949365398</x:v>
      </x:c>
      <x:c r="D9" s="318" t="n">
        <x:f>I38</x:f>
        <x:v>2262402.7749809586</x:v>
      </x:c>
      <x:c r="E9" s="318" t="n">
        <x:f>I39</x:f>
        <x:v>2713274.2550253766</x:v>
      </x:c>
      <x:c r="F9" s="318" t="n">
        <x:f>I40</x:f>
        <x:v>3164145.7350697946</x:v>
      </x:c>
      <x:c r="G9" s="287"/>
      <x:c r="H9" s="287"/>
      <x:c r="I9" s="287"/>
      <x:c r="J9" s="287"/>
    </x:row>
    <x:row r="10">
      <x:c r="A10" s="306" t="n">
        <x:v>3</x:v>
      </x:c>
      <x:c r="B10" s="318" t="n">
        <x:f>I41</x:f>
        <x:v>1989659.4357678455</x:v>
      </x:c>
      <x:c r="C10" s="318" t="n">
        <x:f>I42</x:f>
        <x:v>2530705.211821148</x:v>
      </x:c>
      <x:c r="D10" s="318" t="n">
        <x:f>I43</x:f>
        <x:v>3071750.987874449</x:v>
      </x:c>
      <x:c r="E10" s="318" t="n">
        <x:f>I44</x:f>
        <x:v>3612796.763927751</x:v>
      </x:c>
      <x:c r="F10" s="318" t="n">
        <x:f>I45</x:f>
        <x:v>4153842.539981054</x:v>
      </x:c>
      <x:c r="G10" s="287"/>
      <x:c r="H10" s="287"/>
      <x:c r="I10" s="287"/>
      <x:c r="J10" s="287"/>
    </x:row>
    <x:row r="11">
      <x:c r="A11" s="287"/>
      <x:c r="B11" s="287"/>
      <x:c r="C11" s="287"/>
      <x:c r="D11" s="287"/>
      <x:c r="E11" s="287"/>
      <x:c r="F11" s="287"/>
      <x:c r="G11" s="287"/>
      <x:c r="H11" s="287"/>
      <x:c r="I11" s="287"/>
      <x:c r="J11" s="287"/>
    </x:row>
    <x:row r="12" ht="22" customHeight="1">
      <x:c r="A12" s="13" t="str">
        <x:v>INTERPRETATION</x:v>
      </x:c>
      <x:c r="B12" s="13" t="str">
        <x:v>INTERPRETATION</x:v>
      </x:c>
      <x:c r="C12" s="13" t="str">
        <x:v>INTERPRETATION</x:v>
      </x:c>
      <x:c r="D12" s="13" t="str">
        <x:v>INTERPRETATION</x:v>
      </x:c>
      <x:c r="E12" s="13" t="str">
        <x:v>INTERPRETATION</x:v>
      </x:c>
      <x:c r="F12" s="13" t="str">
        <x:v>INTERPRETATION</x:v>
      </x:c>
      <x:c r="G12" s="287"/>
      <x:c r="H12" s="287"/>
      <x:c r="I12" s="287"/>
      <x:c r="J12" s="287"/>
    </x:row>
    <x:row r="13">
      <x:c r="A13" s="155" t="str">
        <x:v>Base operating point</x:v>
      </x:c>
      <x:c r="B13" s="125" t="n">
        <x:f>D8</x:f>
        <x:v>1453054.5620874662</x:v>
      </x:c>
      <x:c r="C13" s="51"/>
      <x:c r="D13" s="51"/>
      <x:c r="E13" s="51"/>
      <x:c r="F13" s="51"/>
      <x:c r="G13" s="287"/>
      <x:c r="H13" s="287"/>
      <x:c r="I13" s="287"/>
      <x:c r="J13" s="287"/>
    </x:row>
    <x:row r="14">
      <x:c r="A14" s="123" t="str">
        <x:v>Approx. break-even labor cost at 2 shifts</x:v>
      </x:c>
      <x:c r="B14" s="52" t="str">
        <x:f>IF(B8&gt;=0,"≤350 SEK/hour",IF(C8&gt;=0,"350–400 SEK/hour",IF(D8&gt;=0,"400–450 SEK/hour",IF(E8&gt;=0,"450–500 SEK/hour",IF(F8&gt;=0,"500–550 SEK/hour","&gt;550 SEK/hour")))))</x:f>
        <x:v>≤350 SEK/hour</x:v>
      </x:c>
      <x:c r="C14" s="52"/>
      <x:c r="D14" s="52"/>
      <x:c r="E14" s="52"/>
      <x:c r="F14" s="52"/>
      <x:c r="G14" s="287"/>
      <x:c r="H14" s="287"/>
      <x:c r="I14" s="287"/>
      <x:c r="J14" s="287"/>
    </x:row>
    <x:row r="15">
      <x:c r="A15" s="124" t="str">
        <x:v>Decision use</x:v>
      </x:c>
      <x:c r="B15" s="56" t="str">
        <x:v>Use the matrix to identify where site conditions justify a quote or pilot. Do not treat a green cell as proof without a time study.</x:v>
      </x:c>
      <x:c r="C15" s="56"/>
      <x:c r="D15" s="56"/>
      <x:c r="E15" s="56"/>
      <x:c r="F15" s="56"/>
      <x:c r="G15" s="287"/>
      <x:c r="H15" s="287"/>
      <x:c r="I15" s="287"/>
      <x:c r="J15" s="287"/>
    </x:row>
    <x:row r="16">
      <x:c r="A16" s="287"/>
      <x:c r="B16" s="287"/>
      <x:c r="C16" s="287"/>
      <x:c r="D16" s="287"/>
      <x:c r="E16" s="287"/>
      <x:c r="F16" s="287"/>
      <x:c r="G16" s="287"/>
      <x:c r="H16" s="287"/>
      <x:c r="I16" s="287"/>
      <x:c r="J16" s="287"/>
    </x:row>
    <x:row r="17">
      <x:c r="A17" s="319" t="str">
        <x:v>Green = positive NPV at the 8.0% base-case hurdle rate | Red = negative NPV | Values in SEK</x:v>
      </x:c>
      <x:c r="B17" s="319" t="str">
        <x:v>Green = positive NPV at the 8.0% base-case hurdle rate | Red = negative NPV | Values in SEK</x:v>
      </x:c>
      <x:c r="C17" s="319" t="str">
        <x:v>Green = positive NPV at the 8.0% base-case hurdle rate | Red = negative NPV | Values in SEK</x:v>
      </x:c>
      <x:c r="D17" s="319" t="str">
        <x:v>Green = positive NPV at the 8.0% base-case hurdle rate | Red = negative NPV | Values in SEK</x:v>
      </x:c>
      <x:c r="E17" s="319" t="str">
        <x:v>Green = positive NPV at the 8.0% base-case hurdle rate | Red = negative NPV | Values in SEK</x:v>
      </x:c>
      <x:c r="F17" s="319" t="str">
        <x:v>Green = positive NPV at the 8.0% base-case hurdle rate | Red = negative NPV | Values in SEK</x:v>
      </x:c>
      <x:c r="G17" s="287"/>
      <x:c r="H17" s="287"/>
      <x:c r="I17" s="287"/>
      <x:c r="J17" s="287"/>
    </x:row>
    <x:row r="18">
      <x:c r="A18" s="287"/>
      <x:c r="B18" s="287"/>
      <x:c r="C18" s="287"/>
      <x:c r="D18" s="287"/>
      <x:c r="E18" s="287"/>
      <x:c r="F18" s="287"/>
      <x:c r="G18" s="287"/>
      <x:c r="H18" s="287"/>
      <x:c r="I18" s="287"/>
      <x:c r="J18" s="287"/>
    </x:row>
    <x:row r="19">
      <x:c r="A19" s="287"/>
      <x:c r="B19" s="287"/>
      <x:c r="C19" s="287"/>
      <x:c r="D19" s="287"/>
      <x:c r="E19" s="287"/>
      <x:c r="F19" s="287"/>
      <x:c r="G19" s="287"/>
      <x:c r="H19" s="287"/>
      <x:c r="I19" s="287"/>
      <x:c r="J19" s="287"/>
    </x:row>
    <x:row r="20" ht="28" customHeight="1">
      <x:c r="A20" s="46" t="str">
        <x:v>Shifts / day</x:v>
      </x:c>
      <x:c r="B20" s="46" t="str">
        <x:v>Loaded labor cost</x:v>
      </x:c>
      <x:c r="C20" s="46" t="str">
        <x:v>Year 0</x:v>
      </x:c>
      <x:c r="D20" s="46" t="str">
        <x:v>Year 1</x:v>
      </x:c>
      <x:c r="E20" s="46" t="str">
        <x:v>Year 2</x:v>
      </x:c>
      <x:c r="F20" s="46" t="str">
        <x:v>Year 3</x:v>
      </x:c>
      <x:c r="G20" s="46" t="str">
        <x:v>Year 4</x:v>
      </x:c>
      <x:c r="H20" s="46" t="str">
        <x:v>Year 5</x:v>
      </x:c>
      <x:c r="I20" s="46" t="str">
        <x:v>NPV</x:v>
      </x:c>
      <x:c r="J20" s="287"/>
    </x:row>
    <x:row r="21">
      <x:c r="A21" s="51" t="n">
        <x:v>1</x:v>
      </x:c>
      <x:c r="B21" s="125" t="n">
        <x:v>350</x:v>
      </x:c>
      <x:c r="C21" s="125" t="n">
        <x:f>-SUM('01_Assumptions'!$E$25:$E$29)*(1+'01_Assumptions'!$E$30)</x:f>
        <x:v>-1732500.0000000002</x:v>
      </x:c>
      <x:c r="D21" s="125" t="n">
        <x:f>($A21*'01_Assumptions'!$E$11*'01_Assumptions'!$E$12*'01_Assumptions'!$E$13*$B21*(1+'01_Assumptions'!$E$16)^(1-1)*'01_Assumptions'!$E$14*'01_Assumptions'!$E$15+'01_Assumptions'!$E$36*(1+'01_Assumptions'!$E$34)^(1-1)-ABS($C21)*'01_Assumptions'!$E$31*(1+'01_Assumptions'!$E$34)^(1-1)-'01_Assumptions'!$E$32*(1+'01_Assumptions'!$E$34)^(1-1)-$A21*'01_Assumptions'!$E$11*'01_Assumptions'!$E$12*'01_Assumptions'!$E$24*'01_Assumptions'!$E$33*(1+'01_Assumptions'!$E$34)^(1-1))-MAX(0,(($A21*'01_Assumptions'!$E$11*'01_Assumptions'!$E$12*'01_Assumptions'!$E$13*$B21*(1+'01_Assumptions'!$E$16)^(1-1)*'01_Assumptions'!$E$14*'01_Assumptions'!$E$15+'01_Assumptions'!$E$36*(1+'01_Assumptions'!$E$34)^(1-1)-ABS($C21)*'01_Assumptions'!$E$31*(1+'01_Assumptions'!$E$34)^(1-1)-'01_Assumptions'!$E$32*(1+'01_Assumptions'!$E$34)^(1-1)-$A21*'01_Assumptions'!$E$11*'01_Assumptions'!$E$12*'01_Assumptions'!$E$24*'01_Assumptions'!$E$33*(1+'01_Assumptions'!$E$34)^(1-1))-ABS($C21)/'01_Assumptions'!$E$9)*'01_Assumptions'!$E$8)</x:f>
        <x:v>258765</x:v>
      </x:c>
      <x:c r="E21" s="125" t="n">
        <x:f>($A21*'01_Assumptions'!$E$11*'01_Assumptions'!$E$12*'01_Assumptions'!$E$13*$B21*(1+'01_Assumptions'!$E$16)^(2-1)*'01_Assumptions'!$E$14*'01_Assumptions'!$E$15+'01_Assumptions'!$E$36*(1+'01_Assumptions'!$E$34)^(2-1)-ABS($C21)*'01_Assumptions'!$E$31*(1+'01_Assumptions'!$E$34)^(2-1)-'01_Assumptions'!$E$32*(1+'01_Assumptions'!$E$34)^(2-1)-$A21*'01_Assumptions'!$E$11*'01_Assumptions'!$E$12*'01_Assumptions'!$E$24*'01_Assumptions'!$E$33*(1+'01_Assumptions'!$E$34)^(2-1))-MAX(0,(($A21*'01_Assumptions'!$E$11*'01_Assumptions'!$E$12*'01_Assumptions'!$E$13*$B21*(1+'01_Assumptions'!$E$16)^(2-1)*'01_Assumptions'!$E$14*'01_Assumptions'!$E$15+'01_Assumptions'!$E$36*(1+'01_Assumptions'!$E$34)^(2-1)-ABS($C21)*'01_Assumptions'!$E$31*(1+'01_Assumptions'!$E$34)^(2-1)-'01_Assumptions'!$E$32*(1+'01_Assumptions'!$E$34)^(2-1)-$A21*'01_Assumptions'!$E$11*'01_Assumptions'!$E$12*'01_Assumptions'!$E$24*'01_Assumptions'!$E$33*(1+'01_Assumptions'!$E$34)^(2-1))-ABS($C21)/'01_Assumptions'!$E$9)*'01_Assumptions'!$E$8)</x:f>
        <x:v>267707.7</x:v>
      </x:c>
      <x:c r="F21" s="125" t="n">
        <x:f>($A21*'01_Assumptions'!$E$11*'01_Assumptions'!$E$12*'01_Assumptions'!$E$13*$B21*(1+'01_Assumptions'!$E$16)^(3-1)*'01_Assumptions'!$E$14*'01_Assumptions'!$E$15+'01_Assumptions'!$E$36*(1+'01_Assumptions'!$E$34)^(3-1)-ABS($C21)*'01_Assumptions'!$E$31*(1+'01_Assumptions'!$E$34)^(3-1)-'01_Assumptions'!$E$32*(1+'01_Assumptions'!$E$34)^(3-1)-$A21*'01_Assumptions'!$E$11*'01_Assumptions'!$E$12*'01_Assumptions'!$E$24*'01_Assumptions'!$E$33*(1+'01_Assumptions'!$E$34)^(3-1))-MAX(0,(($A21*'01_Assumptions'!$E$11*'01_Assumptions'!$E$12*'01_Assumptions'!$E$13*$B21*(1+'01_Assumptions'!$E$16)^(3-1)*'01_Assumptions'!$E$14*'01_Assumptions'!$E$15+'01_Assumptions'!$E$36*(1+'01_Assumptions'!$E$34)^(3-1)-ABS($C21)*'01_Assumptions'!$E$31*(1+'01_Assumptions'!$E$34)^(3-1)-'01_Assumptions'!$E$32*(1+'01_Assumptions'!$E$34)^(3-1)-$A21*'01_Assumptions'!$E$11*'01_Assumptions'!$E$12*'01_Assumptions'!$E$24*'01_Assumptions'!$E$33*(1+'01_Assumptions'!$E$34)^(3-1))-ABS($C21)/'01_Assumptions'!$E$9)*'01_Assumptions'!$E$8)</x:f>
        <x:v>276942.276</x:v>
      </x:c>
      <x:c r="G21" s="125" t="n">
        <x:f>($A21*'01_Assumptions'!$E$11*'01_Assumptions'!$E$12*'01_Assumptions'!$E$13*$B21*(1+'01_Assumptions'!$E$16)^(4-1)*'01_Assumptions'!$E$14*'01_Assumptions'!$E$15+'01_Assumptions'!$E$36*(1+'01_Assumptions'!$E$34)^(4-1)-ABS($C21)*'01_Assumptions'!$E$31*(1+'01_Assumptions'!$E$34)^(4-1)-'01_Assumptions'!$E$32*(1+'01_Assumptions'!$E$34)^(4-1)-$A21*'01_Assumptions'!$E$11*'01_Assumptions'!$E$12*'01_Assumptions'!$E$24*'01_Assumptions'!$E$33*(1+'01_Assumptions'!$E$34)^(4-1))-MAX(0,(($A21*'01_Assumptions'!$E$11*'01_Assumptions'!$E$12*'01_Assumptions'!$E$13*$B21*(1+'01_Assumptions'!$E$16)^(4-1)*'01_Assumptions'!$E$14*'01_Assumptions'!$E$15+'01_Assumptions'!$E$36*(1+'01_Assumptions'!$E$34)^(4-1)-ABS($C21)*'01_Assumptions'!$E$31*(1+'01_Assumptions'!$E$34)^(4-1)-'01_Assumptions'!$E$32*(1+'01_Assumptions'!$E$34)^(4-1)-$A21*'01_Assumptions'!$E$11*'01_Assumptions'!$E$12*'01_Assumptions'!$E$24*'01_Assumptions'!$E$33*(1+'01_Assumptions'!$E$34)^(4-1))-ABS($C21)/'01_Assumptions'!$E$9)*'01_Assumptions'!$E$8)</x:f>
        <x:v>286477.95618000004</x:v>
      </x:c>
      <x:c r="H21" s="125" t="n">
        <x:f>($A21*'01_Assumptions'!$E$11*'01_Assumptions'!$E$12*'01_Assumptions'!$E$13*$B21*(1+'01_Assumptions'!$E$16)^(5-1)*'01_Assumptions'!$E$14*'01_Assumptions'!$E$15+'01_Assumptions'!$E$36*(1+'01_Assumptions'!$E$34)^(5-1)-ABS($C21)*'01_Assumptions'!$E$31*(1+'01_Assumptions'!$E$34)^(5-1)-'01_Assumptions'!$E$32*(1+'01_Assumptions'!$E$34)^(5-1)-$A21*'01_Assumptions'!$E$11*'01_Assumptions'!$E$12*'01_Assumptions'!$E$24*'01_Assumptions'!$E$33*(1+'01_Assumptions'!$E$34)^(5-1))-MAX(0,(($A21*'01_Assumptions'!$E$11*'01_Assumptions'!$E$12*'01_Assumptions'!$E$13*$B21*(1+'01_Assumptions'!$E$16)^(5-1)*'01_Assumptions'!$E$14*'01_Assumptions'!$E$15+'01_Assumptions'!$E$36*(1+'01_Assumptions'!$E$34)^(5-1)-ABS($C21)*'01_Assumptions'!$E$31*(1+'01_Assumptions'!$E$34)^(5-1)-'01_Assumptions'!$E$32*(1+'01_Assumptions'!$E$34)^(5-1)-$A21*'01_Assumptions'!$E$11*'01_Assumptions'!$E$12*'01_Assumptions'!$E$24*'01_Assumptions'!$E$33*(1+'01_Assumptions'!$E$34)^(5-1))-ABS($C21)/'01_Assumptions'!$E$9)*'01_Assumptions'!$E$8)+ABS($C21)*'01_Assumptions'!$E$35*(1-'01_Assumptions'!$E$8)</x:f>
        <x:v>365104.50500340003</x:v>
      </x:c>
      <x:c r="I21" s="125" t="n">
        <x:f>C21+NPV('01_Assumptions'!$E$7,D21:H21)</x:f>
        <x:v>-584487.0252567139</x:v>
      </x:c>
      <x:c r="J21" s="287"/>
    </x:row>
    <x:row r="22">
      <x:c r="A22" s="52" t="n">
        <x:v>1</x:v>
      </x:c>
      <x:c r="B22" s="126" t="n">
        <x:v>400</x:v>
      </x:c>
      <x:c r="C22" s="126" t="n">
        <x:f>-SUM('01_Assumptions'!$E$25:$E$29)*(1+'01_Assumptions'!$E$30)</x:f>
        <x:v>-1732500.0000000002</x:v>
      </x:c>
      <x:c r="D22" s="126" t="n">
        <x:f>($A22*'01_Assumptions'!$E$11*'01_Assumptions'!$E$12*'01_Assumptions'!$E$13*$B22*(1+'01_Assumptions'!$E$16)^(1-1)*'01_Assumptions'!$E$14*'01_Assumptions'!$E$15+'01_Assumptions'!$E$36*(1+'01_Assumptions'!$E$34)^(1-1)-ABS($C22)*'01_Assumptions'!$E$31*(1+'01_Assumptions'!$E$34)^(1-1)-'01_Assumptions'!$E$32*(1+'01_Assumptions'!$E$34)^(1-1)-$A22*'01_Assumptions'!$E$11*'01_Assumptions'!$E$12*'01_Assumptions'!$E$24*'01_Assumptions'!$E$33*(1+'01_Assumptions'!$E$34)^(1-1))-MAX(0,(($A22*'01_Assumptions'!$E$11*'01_Assumptions'!$E$12*'01_Assumptions'!$E$13*$B22*(1+'01_Assumptions'!$E$16)^(1-1)*'01_Assumptions'!$E$14*'01_Assumptions'!$E$15+'01_Assumptions'!$E$36*(1+'01_Assumptions'!$E$34)^(1-1)-ABS($C22)*'01_Assumptions'!$E$31*(1+'01_Assumptions'!$E$34)^(1-1)-'01_Assumptions'!$E$32*(1+'01_Assumptions'!$E$34)^(1-1)-$A22*'01_Assumptions'!$E$11*'01_Assumptions'!$E$12*'01_Assumptions'!$E$24*'01_Assumptions'!$E$33*(1+'01_Assumptions'!$E$34)^(1-1))-ABS($C22)/'01_Assumptions'!$E$9)*'01_Assumptions'!$E$8)</x:f>
        <x:v>312585</x:v>
      </x:c>
      <x:c r="E22" s="126" t="n">
        <x:f>($A22*'01_Assumptions'!$E$11*'01_Assumptions'!$E$12*'01_Assumptions'!$E$13*$B22*(1+'01_Assumptions'!$E$16)^(2-1)*'01_Assumptions'!$E$14*'01_Assumptions'!$E$15+'01_Assumptions'!$E$36*(1+'01_Assumptions'!$E$34)^(2-1)-ABS($C22)*'01_Assumptions'!$E$31*(1+'01_Assumptions'!$E$34)^(2-1)-'01_Assumptions'!$E$32*(1+'01_Assumptions'!$E$34)^(2-1)-$A22*'01_Assumptions'!$E$11*'01_Assumptions'!$E$12*'01_Assumptions'!$E$24*'01_Assumptions'!$E$33*(1+'01_Assumptions'!$E$34)^(2-1))-MAX(0,(($A22*'01_Assumptions'!$E$11*'01_Assumptions'!$E$12*'01_Assumptions'!$E$13*$B22*(1+'01_Assumptions'!$E$16)^(2-1)*'01_Assumptions'!$E$14*'01_Assumptions'!$E$15+'01_Assumptions'!$E$36*(1+'01_Assumptions'!$E$34)^(2-1)-ABS($C22)*'01_Assumptions'!$E$31*(1+'01_Assumptions'!$E$34)^(2-1)-'01_Assumptions'!$E$32*(1+'01_Assumptions'!$E$34)^(2-1)-$A22*'01_Assumptions'!$E$11*'01_Assumptions'!$E$12*'01_Assumptions'!$E$24*'01_Assumptions'!$E$33*(1+'01_Assumptions'!$E$34)^(2-1))-ABS($C22)/'01_Assumptions'!$E$9)*'01_Assumptions'!$E$8)</x:f>
        <x:v>323142.30000000005</x:v>
      </x:c>
      <x:c r="F22" s="126" t="n">
        <x:f>($A22*'01_Assumptions'!$E$11*'01_Assumptions'!$E$12*'01_Assumptions'!$E$13*$B22*(1+'01_Assumptions'!$E$16)^(3-1)*'01_Assumptions'!$E$14*'01_Assumptions'!$E$15+'01_Assumptions'!$E$36*(1+'01_Assumptions'!$E$34)^(3-1)-ABS($C22)*'01_Assumptions'!$E$31*(1+'01_Assumptions'!$E$34)^(3-1)-'01_Assumptions'!$E$32*(1+'01_Assumptions'!$E$34)^(3-1)-$A22*'01_Assumptions'!$E$11*'01_Assumptions'!$E$12*'01_Assumptions'!$E$24*'01_Assumptions'!$E$33*(1+'01_Assumptions'!$E$34)^(3-1))-MAX(0,(($A22*'01_Assumptions'!$E$11*'01_Assumptions'!$E$12*'01_Assumptions'!$E$13*$B22*(1+'01_Assumptions'!$E$16)^(3-1)*'01_Assumptions'!$E$14*'01_Assumptions'!$E$15+'01_Assumptions'!$E$36*(1+'01_Assumptions'!$E$34)^(3-1)-ABS($C22)*'01_Assumptions'!$E$31*(1+'01_Assumptions'!$E$34)^(3-1)-'01_Assumptions'!$E$32*(1+'01_Assumptions'!$E$34)^(3-1)-$A22*'01_Assumptions'!$E$11*'01_Assumptions'!$E$12*'01_Assumptions'!$E$24*'01_Assumptions'!$E$33*(1+'01_Assumptions'!$E$34)^(3-1))-ABS($C22)/'01_Assumptions'!$E$9)*'01_Assumptions'!$E$8)</x:f>
        <x:v>334039.91400000005</x:v>
      </x:c>
      <x:c r="G22" s="126" t="n">
        <x:f>($A22*'01_Assumptions'!$E$11*'01_Assumptions'!$E$12*'01_Assumptions'!$E$13*$B22*(1+'01_Assumptions'!$E$16)^(4-1)*'01_Assumptions'!$E$14*'01_Assumptions'!$E$15+'01_Assumptions'!$E$36*(1+'01_Assumptions'!$E$34)^(4-1)-ABS($C22)*'01_Assumptions'!$E$31*(1+'01_Assumptions'!$E$34)^(4-1)-'01_Assumptions'!$E$32*(1+'01_Assumptions'!$E$34)^(4-1)-$A22*'01_Assumptions'!$E$11*'01_Assumptions'!$E$12*'01_Assumptions'!$E$24*'01_Assumptions'!$E$33*(1+'01_Assumptions'!$E$34)^(4-1))-MAX(0,(($A22*'01_Assumptions'!$E$11*'01_Assumptions'!$E$12*'01_Assumptions'!$E$13*$B22*(1+'01_Assumptions'!$E$16)^(4-1)*'01_Assumptions'!$E$14*'01_Assumptions'!$E$15+'01_Assumptions'!$E$36*(1+'01_Assumptions'!$E$34)^(4-1)-ABS($C22)*'01_Assumptions'!$E$31*(1+'01_Assumptions'!$E$34)^(4-1)-'01_Assumptions'!$E$32*(1+'01_Assumptions'!$E$34)^(4-1)-$A22*'01_Assumptions'!$E$11*'01_Assumptions'!$E$12*'01_Assumptions'!$E$24*'01_Assumptions'!$E$33*(1+'01_Assumptions'!$E$34)^(4-1))-ABS($C22)/'01_Assumptions'!$E$9)*'01_Assumptions'!$E$8)</x:f>
        <x:v>345288.52332000004</x:v>
      </x:c>
      <x:c r="H22" s="126" t="n">
        <x:f>($A22*'01_Assumptions'!$E$11*'01_Assumptions'!$E$12*'01_Assumptions'!$E$13*$B22*(1+'01_Assumptions'!$E$16)^(5-1)*'01_Assumptions'!$E$14*'01_Assumptions'!$E$15+'01_Assumptions'!$E$36*(1+'01_Assumptions'!$E$34)^(5-1)-ABS($C22)*'01_Assumptions'!$E$31*(1+'01_Assumptions'!$E$34)^(5-1)-'01_Assumptions'!$E$32*(1+'01_Assumptions'!$E$34)^(5-1)-$A22*'01_Assumptions'!$E$11*'01_Assumptions'!$E$12*'01_Assumptions'!$E$24*'01_Assumptions'!$E$33*(1+'01_Assumptions'!$E$34)^(5-1))-MAX(0,(($A22*'01_Assumptions'!$E$11*'01_Assumptions'!$E$12*'01_Assumptions'!$E$13*$B22*(1+'01_Assumptions'!$E$16)^(5-1)*'01_Assumptions'!$E$14*'01_Assumptions'!$E$15+'01_Assumptions'!$E$36*(1+'01_Assumptions'!$E$34)^(5-1)-ABS($C22)*'01_Assumptions'!$E$31*(1+'01_Assumptions'!$E$34)^(5-1)-'01_Assumptions'!$E$32*(1+'01_Assumptions'!$E$34)^(5-1)-$A22*'01_Assumptions'!$E$11*'01_Assumptions'!$E$12*'01_Assumptions'!$E$24*'01_Assumptions'!$E$33*(1+'01_Assumptions'!$E$34)^(5-1))-ABS($C22)/'01_Assumptions'!$E$9)*'01_Assumptions'!$E$8)+ABS($C22)*'01_Assumptions'!$E$35*(1-'01_Assumptions'!$E$8)</x:f>
        <x:v>423537.16649113444</x:v>
      </x:c>
      <x:c r="I22" s="126" t="n">
        <x:f>C22+NPV('01_Assumptions'!$E$7,D22:H22)</x:f>
        <x:v>-358805.7013506775</x:v>
      </x:c>
      <x:c r="J22" s="287"/>
    </x:row>
    <x:row r="23">
      <x:c r="A23" s="52" t="n">
        <x:v>1</x:v>
      </x:c>
      <x:c r="B23" s="126" t="n">
        <x:v>450</x:v>
      </x:c>
      <x:c r="C23" s="126" t="n">
        <x:f>-SUM('01_Assumptions'!$E$25:$E$29)*(1+'01_Assumptions'!$E$30)</x:f>
        <x:v>-1732500.0000000002</x:v>
      </x:c>
      <x:c r="D23" s="126" t="n">
        <x:f>($A23*'01_Assumptions'!$E$11*'01_Assumptions'!$E$12*'01_Assumptions'!$E$13*$B23*(1+'01_Assumptions'!$E$16)^(1-1)*'01_Assumptions'!$E$14*'01_Assumptions'!$E$15+'01_Assumptions'!$E$36*(1+'01_Assumptions'!$E$34)^(1-1)-ABS($C23)*'01_Assumptions'!$E$31*(1+'01_Assumptions'!$E$34)^(1-1)-'01_Assumptions'!$E$32*(1+'01_Assumptions'!$E$34)^(1-1)-$A23*'01_Assumptions'!$E$11*'01_Assumptions'!$E$12*'01_Assumptions'!$E$24*'01_Assumptions'!$E$33*(1+'01_Assumptions'!$E$34)^(1-1))-MAX(0,(($A23*'01_Assumptions'!$E$11*'01_Assumptions'!$E$12*'01_Assumptions'!$E$13*$B23*(1+'01_Assumptions'!$E$16)^(1-1)*'01_Assumptions'!$E$14*'01_Assumptions'!$E$15+'01_Assumptions'!$E$36*(1+'01_Assumptions'!$E$34)^(1-1)-ABS($C23)*'01_Assumptions'!$E$31*(1+'01_Assumptions'!$E$34)^(1-1)-'01_Assumptions'!$E$32*(1+'01_Assumptions'!$E$34)^(1-1)-$A23*'01_Assumptions'!$E$11*'01_Assumptions'!$E$12*'01_Assumptions'!$E$24*'01_Assumptions'!$E$33*(1+'01_Assumptions'!$E$34)^(1-1))-ABS($C23)/'01_Assumptions'!$E$9)*'01_Assumptions'!$E$8)</x:f>
        <x:v>362304.57</x:v>
      </x:c>
      <x:c r="E23" s="126" t="n">
        <x:f>($A23*'01_Assumptions'!$E$11*'01_Assumptions'!$E$12*'01_Assumptions'!$E$13*$B23*(1+'01_Assumptions'!$E$16)^(2-1)*'01_Assumptions'!$E$14*'01_Assumptions'!$E$15+'01_Assumptions'!$E$36*(1+'01_Assumptions'!$E$34)^(2-1)-ABS($C23)*'01_Assumptions'!$E$31*(1+'01_Assumptions'!$E$34)^(2-1)-'01_Assumptions'!$E$32*(1+'01_Assumptions'!$E$34)^(2-1)-$A23*'01_Assumptions'!$E$11*'01_Assumptions'!$E$12*'01_Assumptions'!$E$24*'01_Assumptions'!$E$33*(1+'01_Assumptions'!$E$34)^(2-1))-MAX(0,(($A23*'01_Assumptions'!$E$11*'01_Assumptions'!$E$12*'01_Assumptions'!$E$13*$B23*(1+'01_Assumptions'!$E$16)^(2-1)*'01_Assumptions'!$E$14*'01_Assumptions'!$E$15+'01_Assumptions'!$E$36*(1+'01_Assumptions'!$E$34)^(2-1)-ABS($C23)*'01_Assumptions'!$E$31*(1+'01_Assumptions'!$E$34)^(2-1)-'01_Assumptions'!$E$32*(1+'01_Assumptions'!$E$34)^(2-1)-$A23*'01_Assumptions'!$E$11*'01_Assumptions'!$E$12*'01_Assumptions'!$E$24*'01_Assumptions'!$E$33*(1+'01_Assumptions'!$E$34)^(2-1))-ABS($C23)/'01_Assumptions'!$E$9)*'01_Assumptions'!$E$8)</x:f>
        <x:v>371969.05860000005</x:v>
      </x:c>
      <x:c r="F23" s="126" t="n">
        <x:f>($A23*'01_Assumptions'!$E$11*'01_Assumptions'!$E$12*'01_Assumptions'!$E$13*$B23*(1+'01_Assumptions'!$E$16)^(3-1)*'01_Assumptions'!$E$14*'01_Assumptions'!$E$15+'01_Assumptions'!$E$36*(1+'01_Assumptions'!$E$34)^(3-1)-ABS($C23)*'01_Assumptions'!$E$31*(1+'01_Assumptions'!$E$34)^(3-1)-'01_Assumptions'!$E$32*(1+'01_Assumptions'!$E$34)^(3-1)-$A23*'01_Assumptions'!$E$11*'01_Assumptions'!$E$12*'01_Assumptions'!$E$24*'01_Assumptions'!$E$33*(1+'01_Assumptions'!$E$34)^(3-1))-MAX(0,(($A23*'01_Assumptions'!$E$11*'01_Assumptions'!$E$12*'01_Assumptions'!$E$13*$B23*(1+'01_Assumptions'!$E$16)^(3-1)*'01_Assumptions'!$E$14*'01_Assumptions'!$E$15+'01_Assumptions'!$E$36*(1+'01_Assumptions'!$E$34)^(3-1)-ABS($C23)*'01_Assumptions'!$E$31*(1+'01_Assumptions'!$E$34)^(3-1)-'01_Assumptions'!$E$32*(1+'01_Assumptions'!$E$34)^(3-1)-$A23*'01_Assumptions'!$E$11*'01_Assumptions'!$E$12*'01_Assumptions'!$E$24*'01_Assumptions'!$E$33*(1+'01_Assumptions'!$E$34)^(3-1))-ABS($C23)/'01_Assumptions'!$E$9)*'01_Assumptions'!$E$8)</x:f>
        <x:v>381942.21628800005</x:v>
      </x:c>
      <x:c r="G23" s="126" t="n">
        <x:f>($A23*'01_Assumptions'!$E$11*'01_Assumptions'!$E$12*'01_Assumptions'!$E$13*$B23*(1+'01_Assumptions'!$E$16)^(4-1)*'01_Assumptions'!$E$14*'01_Assumptions'!$E$15+'01_Assumptions'!$E$36*(1+'01_Assumptions'!$E$34)^(4-1)-ABS($C23)*'01_Assumptions'!$E$31*(1+'01_Assumptions'!$E$34)^(4-1)-'01_Assumptions'!$E$32*(1+'01_Assumptions'!$E$34)^(4-1)-$A23*'01_Assumptions'!$E$11*'01_Assumptions'!$E$12*'01_Assumptions'!$E$24*'01_Assumptions'!$E$33*(1+'01_Assumptions'!$E$34)^(4-1))-MAX(0,(($A23*'01_Assumptions'!$E$11*'01_Assumptions'!$E$12*'01_Assumptions'!$E$13*$B23*(1+'01_Assumptions'!$E$16)^(4-1)*'01_Assumptions'!$E$14*'01_Assumptions'!$E$15+'01_Assumptions'!$E$36*(1+'01_Assumptions'!$E$34)^(4-1)-ABS($C23)*'01_Assumptions'!$E$31*(1+'01_Assumptions'!$E$34)^(4-1)-'01_Assumptions'!$E$32*(1+'01_Assumptions'!$E$34)^(4-1)-$A23*'01_Assumptions'!$E$11*'01_Assumptions'!$E$12*'01_Assumptions'!$E$24*'01_Assumptions'!$E$33*(1+'01_Assumptions'!$E$34)^(4-1))-ABS($C23)/'01_Assumptions'!$E$9)*'01_Assumptions'!$E$8)</x:f>
        <x:v>392233.67782524007</x:v>
      </x:c>
      <x:c r="H23" s="126" t="n">
        <x:f>($A23*'01_Assumptions'!$E$11*'01_Assumptions'!$E$12*'01_Assumptions'!$E$13*$B23*(1+'01_Assumptions'!$E$16)^(5-1)*'01_Assumptions'!$E$14*'01_Assumptions'!$E$15+'01_Assumptions'!$E$36*(1+'01_Assumptions'!$E$34)^(5-1)-ABS($C23)*'01_Assumptions'!$E$31*(1+'01_Assumptions'!$E$34)^(5-1)-'01_Assumptions'!$E$32*(1+'01_Assumptions'!$E$34)^(5-1)-$A23*'01_Assumptions'!$E$11*'01_Assumptions'!$E$12*'01_Assumptions'!$E$24*'01_Assumptions'!$E$33*(1+'01_Assumptions'!$E$34)^(5-1))-MAX(0,(($A23*'01_Assumptions'!$E$11*'01_Assumptions'!$E$12*'01_Assumptions'!$E$13*$B23*(1+'01_Assumptions'!$E$16)^(5-1)*'01_Assumptions'!$E$14*'01_Assumptions'!$E$15+'01_Assumptions'!$E$36*(1+'01_Assumptions'!$E$34)^(5-1)-ABS($C23)*'01_Assumptions'!$E$31*(1+'01_Assumptions'!$E$34)^(5-1)-'01_Assumptions'!$E$32*(1+'01_Assumptions'!$E$34)^(5-1)-$A23*'01_Assumptions'!$E$11*'01_Assumptions'!$E$12*'01_Assumptions'!$E$24*'01_Assumptions'!$E$33*(1+'01_Assumptions'!$E$34)^(5-1))-ABS($C23)/'01_Assumptions'!$E$9)*'01_Assumptions'!$E$8)+ABS($C23)*'01_Assumptions'!$E$35*(1-'01_Assumptions'!$E$8)</x:f>
        <x:v>471633.62450956926</x:v>
      </x:c>
      <x:c r="I23" s="126" t="n">
        <x:f>C23+NPV('01_Assumptions'!$E$7,D23:H23)</x:f>
        <x:v>-165641.86369951675</x:v>
      </x:c>
      <x:c r="J23" s="287"/>
    </x:row>
    <x:row r="24">
      <x:c r="A24" s="52" t="n">
        <x:v>1</x:v>
      </x:c>
      <x:c r="B24" s="126" t="n">
        <x:v>500</x:v>
      </x:c>
      <x:c r="C24" s="126" t="n">
        <x:f>-SUM('01_Assumptions'!$E$25:$E$29)*(1+'01_Assumptions'!$E$30)</x:f>
        <x:v>-1732500.0000000002</x:v>
      </x:c>
      <x:c r="D24" s="126" t="n">
        <x:f>($A24*'01_Assumptions'!$E$11*'01_Assumptions'!$E$12*'01_Assumptions'!$E$13*$B24*(1+'01_Assumptions'!$E$16)^(1-1)*'01_Assumptions'!$E$14*'01_Assumptions'!$E$15+'01_Assumptions'!$E$36*(1+'01_Assumptions'!$E$34)^(1-1)-ABS($C24)*'01_Assumptions'!$E$31*(1+'01_Assumptions'!$E$34)^(1-1)-'01_Assumptions'!$E$32*(1+'01_Assumptions'!$E$34)^(1-1)-$A24*'01_Assumptions'!$E$11*'01_Assumptions'!$E$12*'01_Assumptions'!$E$24*'01_Assumptions'!$E$33*(1+'01_Assumptions'!$E$34)^(1-1))-MAX(0,(($A24*'01_Assumptions'!$E$11*'01_Assumptions'!$E$12*'01_Assumptions'!$E$13*$B24*(1+'01_Assumptions'!$E$16)^(1-1)*'01_Assumptions'!$E$14*'01_Assumptions'!$E$15+'01_Assumptions'!$E$36*(1+'01_Assumptions'!$E$34)^(1-1)-ABS($C24)*'01_Assumptions'!$E$31*(1+'01_Assumptions'!$E$34)^(1-1)-'01_Assumptions'!$E$32*(1+'01_Assumptions'!$E$34)^(1-1)-$A24*'01_Assumptions'!$E$11*'01_Assumptions'!$E$12*'01_Assumptions'!$E$24*'01_Assumptions'!$E$33*(1+'01_Assumptions'!$E$34)^(1-1))-ABS($C24)/'01_Assumptions'!$E$9)*'01_Assumptions'!$E$8)</x:f>
        <x:v>405037.65</x:v>
      </x:c>
      <x:c r="E24" s="126" t="n">
        <x:f>($A24*'01_Assumptions'!$E$11*'01_Assumptions'!$E$12*'01_Assumptions'!$E$13*$B24*(1+'01_Assumptions'!$E$16)^(2-1)*'01_Assumptions'!$E$14*'01_Assumptions'!$E$15+'01_Assumptions'!$E$36*(1+'01_Assumptions'!$E$34)^(2-1)-ABS($C24)*'01_Assumptions'!$E$31*(1+'01_Assumptions'!$E$34)^(2-1)-'01_Assumptions'!$E$32*(1+'01_Assumptions'!$E$34)^(2-1)-$A24*'01_Assumptions'!$E$11*'01_Assumptions'!$E$12*'01_Assumptions'!$E$24*'01_Assumptions'!$E$33*(1+'01_Assumptions'!$E$34)^(2-1))-MAX(0,(($A24*'01_Assumptions'!$E$11*'01_Assumptions'!$E$12*'01_Assumptions'!$E$13*$B24*(1+'01_Assumptions'!$E$16)^(2-1)*'01_Assumptions'!$E$14*'01_Assumptions'!$E$15+'01_Assumptions'!$E$36*(1+'01_Assumptions'!$E$34)^(2-1)-ABS($C24)*'01_Assumptions'!$E$31*(1+'01_Assumptions'!$E$34)^(2-1)-'01_Assumptions'!$E$32*(1+'01_Assumptions'!$E$34)^(2-1)-$A24*'01_Assumptions'!$E$11*'01_Assumptions'!$E$12*'01_Assumptions'!$E$24*'01_Assumptions'!$E$33*(1+'01_Assumptions'!$E$34)^(2-1))-ABS($C24)/'01_Assumptions'!$E$9)*'01_Assumptions'!$E$8)</x:f>
        <x:v>415984.131</x:v>
      </x:c>
      <x:c r="F24" s="126" t="n">
        <x:f>($A24*'01_Assumptions'!$E$11*'01_Assumptions'!$E$12*'01_Assumptions'!$E$13*$B24*(1+'01_Assumptions'!$E$16)^(3-1)*'01_Assumptions'!$E$14*'01_Assumptions'!$E$15+'01_Assumptions'!$E$36*(1+'01_Assumptions'!$E$34)^(3-1)-ABS($C24)*'01_Assumptions'!$E$31*(1+'01_Assumptions'!$E$34)^(3-1)-'01_Assumptions'!$E$32*(1+'01_Assumptions'!$E$34)^(3-1)-$A24*'01_Assumptions'!$E$11*'01_Assumptions'!$E$12*'01_Assumptions'!$E$24*'01_Assumptions'!$E$33*(1+'01_Assumptions'!$E$34)^(3-1))-MAX(0,(($A24*'01_Assumptions'!$E$11*'01_Assumptions'!$E$12*'01_Assumptions'!$E$13*$B24*(1+'01_Assumptions'!$E$16)^(3-1)*'01_Assumptions'!$E$14*'01_Assumptions'!$E$15+'01_Assumptions'!$E$36*(1+'01_Assumptions'!$E$34)^(3-1)-ABS($C24)*'01_Assumptions'!$E$31*(1+'01_Assumptions'!$E$34)^(3-1)-'01_Assumptions'!$E$32*(1+'01_Assumptions'!$E$34)^(3-1)-$A24*'01_Assumptions'!$E$11*'01_Assumptions'!$E$12*'01_Assumptions'!$E$24*'01_Assumptions'!$E$33*(1+'01_Assumptions'!$E$34)^(3-1))-ABS($C24)/'01_Assumptions'!$E$9)*'01_Assumptions'!$E$8)</x:f>
        <x:v>427277.74086</x:v>
      </x:c>
      <x:c r="G24" s="126" t="n">
        <x:f>($A24*'01_Assumptions'!$E$11*'01_Assumptions'!$E$12*'01_Assumptions'!$E$13*$B24*(1+'01_Assumptions'!$E$16)^(4-1)*'01_Assumptions'!$E$14*'01_Assumptions'!$E$15+'01_Assumptions'!$E$36*(1+'01_Assumptions'!$E$34)^(4-1)-ABS($C24)*'01_Assumptions'!$E$31*(1+'01_Assumptions'!$E$34)^(4-1)-'01_Assumptions'!$E$32*(1+'01_Assumptions'!$E$34)^(4-1)-$A24*'01_Assumptions'!$E$11*'01_Assumptions'!$E$12*'01_Assumptions'!$E$24*'01_Assumptions'!$E$33*(1+'01_Assumptions'!$E$34)^(4-1))-MAX(0,(($A24*'01_Assumptions'!$E$11*'01_Assumptions'!$E$12*'01_Assumptions'!$E$13*$B24*(1+'01_Assumptions'!$E$16)^(4-1)*'01_Assumptions'!$E$14*'01_Assumptions'!$E$15+'01_Assumptions'!$E$36*(1+'01_Assumptions'!$E$34)^(4-1)-ABS($C24)*'01_Assumptions'!$E$31*(1+'01_Assumptions'!$E$34)^(4-1)-'01_Assumptions'!$E$32*(1+'01_Assumptions'!$E$34)^(4-1)-$A24*'01_Assumptions'!$E$11*'01_Assumptions'!$E$12*'01_Assumptions'!$E$24*'01_Assumptions'!$E$33*(1+'01_Assumptions'!$E$34)^(4-1))-ABS($C24)/'01_Assumptions'!$E$9)*'01_Assumptions'!$E$8)</x:f>
        <x:v>438929.2681344001</x:v>
      </x:c>
      <x:c r="H24" s="126" t="n">
        <x:f>($A24*'01_Assumptions'!$E$11*'01_Assumptions'!$E$12*'01_Assumptions'!$E$13*$B24*(1+'01_Assumptions'!$E$16)^(5-1)*'01_Assumptions'!$E$14*'01_Assumptions'!$E$15+'01_Assumptions'!$E$36*(1+'01_Assumptions'!$E$34)^(5-1)-ABS($C24)*'01_Assumptions'!$E$31*(1+'01_Assumptions'!$E$34)^(5-1)-'01_Assumptions'!$E$32*(1+'01_Assumptions'!$E$34)^(5-1)-$A24*'01_Assumptions'!$E$11*'01_Assumptions'!$E$12*'01_Assumptions'!$E$24*'01_Assumptions'!$E$33*(1+'01_Assumptions'!$E$34)^(5-1))-MAX(0,(($A24*'01_Assumptions'!$E$11*'01_Assumptions'!$E$12*'01_Assumptions'!$E$13*$B24*(1+'01_Assumptions'!$E$16)^(5-1)*'01_Assumptions'!$E$14*'01_Assumptions'!$E$15+'01_Assumptions'!$E$36*(1+'01_Assumptions'!$E$34)^(5-1)-ABS($C24)*'01_Assumptions'!$E$31*(1+'01_Assumptions'!$E$34)^(5-1)-'01_Assumptions'!$E$32*(1+'01_Assumptions'!$E$34)^(5-1)-$A24*'01_Assumptions'!$E$11*'01_Assumptions'!$E$12*'01_Assumptions'!$E$24*'01_Assumptions'!$E$33*(1+'01_Assumptions'!$E$34)^(5-1))-ABS($C24)/'01_Assumptions'!$E$9)*'01_Assumptions'!$E$8)+ABS($C24)*'01_Assumptions'!$E$35*(1-'01_Assumptions'!$E$8)</x:f>
        <x:v>519730.08252800413</x:v>
      </x:c>
      <x:c r="I24" s="126" t="n">
        <x:f>C24+NPV('01_Assumptions'!$E$7,D24:H24)</x:f>
        <x:v>14706.728318250738</x:v>
      </x:c>
      <x:c r="J24" s="287"/>
    </x:row>
    <x:row r="25">
      <x:c r="A25" s="52" t="n">
        <x:v>1</x:v>
      </x:c>
      <x:c r="B25" s="126" t="n">
        <x:v>550</x:v>
      </x:c>
      <x:c r="C25" s="126" t="n">
        <x:f>-SUM('01_Assumptions'!$E$25:$E$29)*(1+'01_Assumptions'!$E$30)</x:f>
        <x:v>-1732500.0000000002</x:v>
      </x:c>
      <x:c r="D25" s="126" t="n">
        <x:f>($A25*'01_Assumptions'!$E$11*'01_Assumptions'!$E$12*'01_Assumptions'!$E$13*$B25*(1+'01_Assumptions'!$E$16)^(1-1)*'01_Assumptions'!$E$14*'01_Assumptions'!$E$15+'01_Assumptions'!$E$36*(1+'01_Assumptions'!$E$34)^(1-1)-ABS($C25)*'01_Assumptions'!$E$31*(1+'01_Assumptions'!$E$34)^(1-1)-'01_Assumptions'!$E$32*(1+'01_Assumptions'!$E$34)^(1-1)-$A25*'01_Assumptions'!$E$11*'01_Assumptions'!$E$12*'01_Assumptions'!$E$24*'01_Assumptions'!$E$33*(1+'01_Assumptions'!$E$34)^(1-1))-MAX(0,(($A25*'01_Assumptions'!$E$11*'01_Assumptions'!$E$12*'01_Assumptions'!$E$13*$B25*(1+'01_Assumptions'!$E$16)^(1-1)*'01_Assumptions'!$E$14*'01_Assumptions'!$E$15+'01_Assumptions'!$E$36*(1+'01_Assumptions'!$E$34)^(1-1)-ABS($C25)*'01_Assumptions'!$E$31*(1+'01_Assumptions'!$E$34)^(1-1)-'01_Assumptions'!$E$32*(1+'01_Assumptions'!$E$34)^(1-1)-$A25*'01_Assumptions'!$E$11*'01_Assumptions'!$E$12*'01_Assumptions'!$E$24*'01_Assumptions'!$E$33*(1+'01_Assumptions'!$E$34)^(1-1))-ABS($C25)/'01_Assumptions'!$E$9)*'01_Assumptions'!$E$8)</x:f>
        <x:v>447770.73000000004</x:v>
      </x:c>
      <x:c r="E25" s="126" t="n">
        <x:f>($A25*'01_Assumptions'!$E$11*'01_Assumptions'!$E$12*'01_Assumptions'!$E$13*$B25*(1+'01_Assumptions'!$E$16)^(2-1)*'01_Assumptions'!$E$14*'01_Assumptions'!$E$15+'01_Assumptions'!$E$36*(1+'01_Assumptions'!$E$34)^(2-1)-ABS($C25)*'01_Assumptions'!$E$31*(1+'01_Assumptions'!$E$34)^(2-1)-'01_Assumptions'!$E$32*(1+'01_Assumptions'!$E$34)^(2-1)-$A25*'01_Assumptions'!$E$11*'01_Assumptions'!$E$12*'01_Assumptions'!$E$24*'01_Assumptions'!$E$33*(1+'01_Assumptions'!$E$34)^(2-1))-MAX(0,(($A25*'01_Assumptions'!$E$11*'01_Assumptions'!$E$12*'01_Assumptions'!$E$13*$B25*(1+'01_Assumptions'!$E$16)^(2-1)*'01_Assumptions'!$E$14*'01_Assumptions'!$E$15+'01_Assumptions'!$E$36*(1+'01_Assumptions'!$E$34)^(2-1)-ABS($C25)*'01_Assumptions'!$E$31*(1+'01_Assumptions'!$E$34)^(2-1)-'01_Assumptions'!$E$32*(1+'01_Assumptions'!$E$34)^(2-1)-$A25*'01_Assumptions'!$E$11*'01_Assumptions'!$E$12*'01_Assumptions'!$E$24*'01_Assumptions'!$E$33*(1+'01_Assumptions'!$E$34)^(2-1))-ABS($C25)/'01_Assumptions'!$E$9)*'01_Assumptions'!$E$8)</x:f>
        <x:v>459999.2034</x:v>
      </x:c>
      <x:c r="F25" s="126" t="n">
        <x:f>($A25*'01_Assumptions'!$E$11*'01_Assumptions'!$E$12*'01_Assumptions'!$E$13*$B25*(1+'01_Assumptions'!$E$16)^(3-1)*'01_Assumptions'!$E$14*'01_Assumptions'!$E$15+'01_Assumptions'!$E$36*(1+'01_Assumptions'!$E$34)^(3-1)-ABS($C25)*'01_Assumptions'!$E$31*(1+'01_Assumptions'!$E$34)^(3-1)-'01_Assumptions'!$E$32*(1+'01_Assumptions'!$E$34)^(3-1)-$A25*'01_Assumptions'!$E$11*'01_Assumptions'!$E$12*'01_Assumptions'!$E$24*'01_Assumptions'!$E$33*(1+'01_Assumptions'!$E$34)^(3-1))-MAX(0,(($A25*'01_Assumptions'!$E$11*'01_Assumptions'!$E$12*'01_Assumptions'!$E$13*$B25*(1+'01_Assumptions'!$E$16)^(3-1)*'01_Assumptions'!$E$14*'01_Assumptions'!$E$15+'01_Assumptions'!$E$36*(1+'01_Assumptions'!$E$34)^(3-1)-ABS($C25)*'01_Assumptions'!$E$31*(1+'01_Assumptions'!$E$34)^(3-1)-'01_Assumptions'!$E$32*(1+'01_Assumptions'!$E$34)^(3-1)-$A25*'01_Assumptions'!$E$11*'01_Assumptions'!$E$12*'01_Assumptions'!$E$24*'01_Assumptions'!$E$33*(1+'01_Assumptions'!$E$34)^(3-1))-ABS($C25)/'01_Assumptions'!$E$9)*'01_Assumptions'!$E$8)</x:f>
        <x:v>472613.26543200004</x:v>
      </x:c>
      <x:c r="G25" s="126" t="n">
        <x:f>($A25*'01_Assumptions'!$E$11*'01_Assumptions'!$E$12*'01_Assumptions'!$E$13*$B25*(1+'01_Assumptions'!$E$16)^(4-1)*'01_Assumptions'!$E$14*'01_Assumptions'!$E$15+'01_Assumptions'!$E$36*(1+'01_Assumptions'!$E$34)^(4-1)-ABS($C25)*'01_Assumptions'!$E$31*(1+'01_Assumptions'!$E$34)^(4-1)-'01_Assumptions'!$E$32*(1+'01_Assumptions'!$E$34)^(4-1)-$A25*'01_Assumptions'!$E$11*'01_Assumptions'!$E$12*'01_Assumptions'!$E$24*'01_Assumptions'!$E$33*(1+'01_Assumptions'!$E$34)^(4-1))-MAX(0,(($A25*'01_Assumptions'!$E$11*'01_Assumptions'!$E$12*'01_Assumptions'!$E$13*$B25*(1+'01_Assumptions'!$E$16)^(4-1)*'01_Assumptions'!$E$14*'01_Assumptions'!$E$15+'01_Assumptions'!$E$36*(1+'01_Assumptions'!$E$34)^(4-1)-ABS($C25)*'01_Assumptions'!$E$31*(1+'01_Assumptions'!$E$34)^(4-1)-'01_Assumptions'!$E$32*(1+'01_Assumptions'!$E$34)^(4-1)-$A25*'01_Assumptions'!$E$11*'01_Assumptions'!$E$12*'01_Assumptions'!$E$24*'01_Assumptions'!$E$33*(1+'01_Assumptions'!$E$34)^(4-1))-ABS($C25)/'01_Assumptions'!$E$9)*'01_Assumptions'!$E$8)</x:f>
        <x:v>485624.85844356</x:v>
      </x:c>
      <x:c r="H25" s="126" t="n">
        <x:f>($A25*'01_Assumptions'!$E$11*'01_Assumptions'!$E$12*'01_Assumptions'!$E$13*$B25*(1+'01_Assumptions'!$E$16)^(5-1)*'01_Assumptions'!$E$14*'01_Assumptions'!$E$15+'01_Assumptions'!$E$36*(1+'01_Assumptions'!$E$34)^(5-1)-ABS($C25)*'01_Assumptions'!$E$31*(1+'01_Assumptions'!$E$34)^(5-1)-'01_Assumptions'!$E$32*(1+'01_Assumptions'!$E$34)^(5-1)-$A25*'01_Assumptions'!$E$11*'01_Assumptions'!$E$12*'01_Assumptions'!$E$24*'01_Assumptions'!$E$33*(1+'01_Assumptions'!$E$34)^(5-1))-MAX(0,(($A25*'01_Assumptions'!$E$11*'01_Assumptions'!$E$12*'01_Assumptions'!$E$13*$B25*(1+'01_Assumptions'!$E$16)^(5-1)*'01_Assumptions'!$E$14*'01_Assumptions'!$E$15+'01_Assumptions'!$E$36*(1+'01_Assumptions'!$E$34)^(5-1)-ABS($C25)*'01_Assumptions'!$E$31*(1+'01_Assumptions'!$E$34)^(5-1)-'01_Assumptions'!$E$32*(1+'01_Assumptions'!$E$34)^(5-1)-$A25*'01_Assumptions'!$E$11*'01_Assumptions'!$E$12*'01_Assumptions'!$E$24*'01_Assumptions'!$E$33*(1+'01_Assumptions'!$E$34)^(5-1))-ABS($C25)/'01_Assumptions'!$E$9)*'01_Assumptions'!$E$8)+ABS($C25)*'01_Assumptions'!$E$35*(1-'01_Assumptions'!$E$8)</x:f>
        <x:v>567826.540546439</x:v>
      </x:c>
      <x:c r="I25" s="126" t="n">
        <x:f>C25+NPV('01_Assumptions'!$E$7,D25:H25)</x:f>
        <x:v>195055.32033601846</x:v>
      </x:c>
      <x:c r="J25" s="287"/>
    </x:row>
    <x:row r="26">
      <x:c r="A26" s="52" t="n">
        <x:v>1.5</x:v>
      </x:c>
      <x:c r="B26" s="126" t="n">
        <x:v>350</x:v>
      </x:c>
      <x:c r="C26" s="126" t="n">
        <x:f>-SUM('01_Assumptions'!$E$25:$E$29)*(1+'01_Assumptions'!$E$30)</x:f>
        <x:v>-1732500.0000000002</x:v>
      </x:c>
      <x:c r="D26" s="126" t="n">
        <x:f>($A26*'01_Assumptions'!$E$11*'01_Assumptions'!$E$12*'01_Assumptions'!$E$13*$B26*(1+'01_Assumptions'!$E$16)^(1-1)*'01_Assumptions'!$E$14*'01_Assumptions'!$E$15+'01_Assumptions'!$E$36*(1+'01_Assumptions'!$E$34)^(1-1)-ABS($C26)*'01_Assumptions'!$E$31*(1+'01_Assumptions'!$E$34)^(1-1)-'01_Assumptions'!$E$32*(1+'01_Assumptions'!$E$34)^(1-1)-$A26*'01_Assumptions'!$E$11*'01_Assumptions'!$E$12*'01_Assumptions'!$E$24*'01_Assumptions'!$E$33*(1+'01_Assumptions'!$E$34)^(1-1))-MAX(0,(($A26*'01_Assumptions'!$E$11*'01_Assumptions'!$E$12*'01_Assumptions'!$E$13*$B26*(1+'01_Assumptions'!$E$16)^(1-1)*'01_Assumptions'!$E$14*'01_Assumptions'!$E$15+'01_Assumptions'!$E$36*(1+'01_Assumptions'!$E$34)^(1-1)-ABS($C26)*'01_Assumptions'!$E$31*(1+'01_Assumptions'!$E$34)^(1-1)-'01_Assumptions'!$E$32*(1+'01_Assumptions'!$E$34)^(1-1)-$A26*'01_Assumptions'!$E$11*'01_Assumptions'!$E$12*'01_Assumptions'!$E$24*'01_Assumptions'!$E$33*(1+'01_Assumptions'!$E$34)^(1-1))-ABS($C26)/'01_Assumptions'!$E$9)*'01_Assumptions'!$E$8)</x:f>
        <x:v>425868.24</x:v>
      </x:c>
      <x:c r="E26" s="126" t="n">
        <x:f>($A26*'01_Assumptions'!$E$11*'01_Assumptions'!$E$12*'01_Assumptions'!$E$13*$B26*(1+'01_Assumptions'!$E$16)^(2-1)*'01_Assumptions'!$E$14*'01_Assumptions'!$E$15+'01_Assumptions'!$E$36*(1+'01_Assumptions'!$E$34)^(2-1)-ABS($C26)*'01_Assumptions'!$E$31*(1+'01_Assumptions'!$E$34)^(2-1)-'01_Assumptions'!$E$32*(1+'01_Assumptions'!$E$34)^(2-1)-$A26*'01_Assumptions'!$E$11*'01_Assumptions'!$E$12*'01_Assumptions'!$E$24*'01_Assumptions'!$E$33*(1+'01_Assumptions'!$E$34)^(2-1))-MAX(0,(($A26*'01_Assumptions'!$E$11*'01_Assumptions'!$E$12*'01_Assumptions'!$E$13*$B26*(1+'01_Assumptions'!$E$16)^(2-1)*'01_Assumptions'!$E$14*'01_Assumptions'!$E$15+'01_Assumptions'!$E$36*(1+'01_Assumptions'!$E$34)^(2-1)-ABS($C26)*'01_Assumptions'!$E$31*(1+'01_Assumptions'!$E$34)^(2-1)-'01_Assumptions'!$E$32*(1+'01_Assumptions'!$E$34)^(2-1)-$A26*'01_Assumptions'!$E$11*'01_Assumptions'!$E$12*'01_Assumptions'!$E$24*'01_Assumptions'!$E$33*(1+'01_Assumptions'!$E$34)^(2-1))-ABS($C26)/'01_Assumptions'!$E$9)*'01_Assumptions'!$E$8)</x:f>
        <x:v>437444.99820000003</x:v>
      </x:c>
      <x:c r="F26" s="126" t="n">
        <x:f>($A26*'01_Assumptions'!$E$11*'01_Assumptions'!$E$12*'01_Assumptions'!$E$13*$B26*(1+'01_Assumptions'!$E$16)^(3-1)*'01_Assumptions'!$E$14*'01_Assumptions'!$E$15+'01_Assumptions'!$E$36*(1+'01_Assumptions'!$E$34)^(3-1)-ABS($C26)*'01_Assumptions'!$E$31*(1+'01_Assumptions'!$E$34)^(3-1)-'01_Assumptions'!$E$32*(1+'01_Assumptions'!$E$34)^(3-1)-$A26*'01_Assumptions'!$E$11*'01_Assumptions'!$E$12*'01_Assumptions'!$E$24*'01_Assumptions'!$E$33*(1+'01_Assumptions'!$E$34)^(3-1))-MAX(0,(($A26*'01_Assumptions'!$E$11*'01_Assumptions'!$E$12*'01_Assumptions'!$E$13*$B26*(1+'01_Assumptions'!$E$16)^(3-1)*'01_Assumptions'!$E$14*'01_Assumptions'!$E$15+'01_Assumptions'!$E$36*(1+'01_Assumptions'!$E$34)^(3-1)-ABS($C26)*'01_Assumptions'!$E$31*(1+'01_Assumptions'!$E$34)^(3-1)-'01_Assumptions'!$E$32*(1+'01_Assumptions'!$E$34)^(3-1)-$A26*'01_Assumptions'!$E$11*'01_Assumptions'!$E$12*'01_Assumptions'!$E$24*'01_Assumptions'!$E$33*(1+'01_Assumptions'!$E$34)^(3-1))-ABS($C26)/'01_Assumptions'!$E$9)*'01_Assumptions'!$E$8)</x:f>
        <x:v>449387.9007660001</x:v>
      </x:c>
      <x:c r="G26" s="126" t="n">
        <x:f>($A26*'01_Assumptions'!$E$11*'01_Assumptions'!$E$12*'01_Assumptions'!$E$13*$B26*(1+'01_Assumptions'!$E$16)^(4-1)*'01_Assumptions'!$E$14*'01_Assumptions'!$E$15+'01_Assumptions'!$E$36*(1+'01_Assumptions'!$E$34)^(4-1)-ABS($C26)*'01_Assumptions'!$E$31*(1+'01_Assumptions'!$E$34)^(4-1)-'01_Assumptions'!$E$32*(1+'01_Assumptions'!$E$34)^(4-1)-$A26*'01_Assumptions'!$E$11*'01_Assumptions'!$E$12*'01_Assumptions'!$E$24*'01_Assumptions'!$E$33*(1+'01_Assumptions'!$E$34)^(4-1))-MAX(0,(($A26*'01_Assumptions'!$E$11*'01_Assumptions'!$E$12*'01_Assumptions'!$E$13*$B26*(1+'01_Assumptions'!$E$16)^(4-1)*'01_Assumptions'!$E$14*'01_Assumptions'!$E$15+'01_Assumptions'!$E$36*(1+'01_Assumptions'!$E$34)^(4-1)-ABS($C26)*'01_Assumptions'!$E$31*(1+'01_Assumptions'!$E$34)^(4-1)-'01_Assumptions'!$E$32*(1+'01_Assumptions'!$E$34)^(4-1)-$A26*'01_Assumptions'!$E$11*'01_Assumptions'!$E$12*'01_Assumptions'!$E$24*'01_Assumptions'!$E$33*(1+'01_Assumptions'!$E$34)^(4-1))-ABS($C26)/'01_Assumptions'!$E$9)*'01_Assumptions'!$E$8)</x:f>
        <x:v>461708.30886138004</x:v>
      </x:c>
      <x:c r="H26" s="126" t="n">
        <x:f>($A26*'01_Assumptions'!$E$11*'01_Assumptions'!$E$12*'01_Assumptions'!$E$13*$B26*(1+'01_Assumptions'!$E$16)^(5-1)*'01_Assumptions'!$E$14*'01_Assumptions'!$E$15+'01_Assumptions'!$E$36*(1+'01_Assumptions'!$E$34)^(5-1)-ABS($C26)*'01_Assumptions'!$E$31*(1+'01_Assumptions'!$E$34)^(5-1)-'01_Assumptions'!$E$32*(1+'01_Assumptions'!$E$34)^(5-1)-$A26*'01_Assumptions'!$E$11*'01_Assumptions'!$E$12*'01_Assumptions'!$E$24*'01_Assumptions'!$E$33*(1+'01_Assumptions'!$E$34)^(5-1))-MAX(0,(($A26*'01_Assumptions'!$E$11*'01_Assumptions'!$E$12*'01_Assumptions'!$E$13*$B26*(1+'01_Assumptions'!$E$16)^(5-1)*'01_Assumptions'!$E$14*'01_Assumptions'!$E$15+'01_Assumptions'!$E$36*(1+'01_Assumptions'!$E$34)^(5-1)-ABS($C26)*'01_Assumptions'!$E$31*(1+'01_Assumptions'!$E$34)^(5-1)-'01_Assumptions'!$E$32*(1+'01_Assumptions'!$E$34)^(5-1)-$A26*'01_Assumptions'!$E$11*'01_Assumptions'!$E$12*'01_Assumptions'!$E$24*'01_Assumptions'!$E$33*(1+'01_Assumptions'!$E$34)^(5-1))-ABS($C26)/'01_Assumptions'!$E$9)*'01_Assumptions'!$E$8)+ABS($C26)*'01_Assumptions'!$E$35*(1-'01_Assumptions'!$E$8)</x:f>
        <x:v>543198.1820210696</x:v>
      </x:c>
      <x:c r="I26" s="126" t="n">
        <x:f>C26+NPV('01_Assumptions'!$E$7,D26:H26)</x:f>
        <x:v>102660.57314067264</x:v>
      </x:c>
      <x:c r="J26" s="287"/>
    </x:row>
    <x:row r="27">
      <x:c r="A27" s="52" t="n">
        <x:v>1.5</x:v>
      </x:c>
      <x:c r="B27" s="126" t="n">
        <x:v>400</x:v>
      </x:c>
      <x:c r="C27" s="126" t="n">
        <x:f>-SUM('01_Assumptions'!$E$25:$E$29)*(1+'01_Assumptions'!$E$30)</x:f>
        <x:v>-1732500.0000000002</x:v>
      </x:c>
      <x:c r="D27" s="126" t="n">
        <x:f>($A27*'01_Assumptions'!$E$11*'01_Assumptions'!$E$12*'01_Assumptions'!$E$13*$B27*(1+'01_Assumptions'!$E$16)^(1-1)*'01_Assumptions'!$E$14*'01_Assumptions'!$E$15+'01_Assumptions'!$E$36*(1+'01_Assumptions'!$E$34)^(1-1)-ABS($C27)*'01_Assumptions'!$E$31*(1+'01_Assumptions'!$E$34)^(1-1)-'01_Assumptions'!$E$32*(1+'01_Assumptions'!$E$34)^(1-1)-$A27*'01_Assumptions'!$E$11*'01_Assumptions'!$E$12*'01_Assumptions'!$E$24*'01_Assumptions'!$E$33*(1+'01_Assumptions'!$E$34)^(1-1))-MAX(0,(($A27*'01_Assumptions'!$E$11*'01_Assumptions'!$E$12*'01_Assumptions'!$E$13*$B27*(1+'01_Assumptions'!$E$16)^(1-1)*'01_Assumptions'!$E$14*'01_Assumptions'!$E$15+'01_Assumptions'!$E$36*(1+'01_Assumptions'!$E$34)^(1-1)-ABS($C27)*'01_Assumptions'!$E$31*(1+'01_Assumptions'!$E$34)^(1-1)-'01_Assumptions'!$E$32*(1+'01_Assumptions'!$E$34)^(1-1)-$A27*'01_Assumptions'!$E$11*'01_Assumptions'!$E$12*'01_Assumptions'!$E$24*'01_Assumptions'!$E$33*(1+'01_Assumptions'!$E$34)^(1-1))-ABS($C27)/'01_Assumptions'!$E$9)*'01_Assumptions'!$E$8)</x:f>
        <x:v>489967.86</x:v>
      </x:c>
      <x:c r="E27" s="126" t="n">
        <x:f>($A27*'01_Assumptions'!$E$11*'01_Assumptions'!$E$12*'01_Assumptions'!$E$13*$B27*(1+'01_Assumptions'!$E$16)^(2-1)*'01_Assumptions'!$E$14*'01_Assumptions'!$E$15+'01_Assumptions'!$E$36*(1+'01_Assumptions'!$E$34)^(2-1)-ABS($C27)*'01_Assumptions'!$E$31*(1+'01_Assumptions'!$E$34)^(2-1)-'01_Assumptions'!$E$32*(1+'01_Assumptions'!$E$34)^(2-1)-$A27*'01_Assumptions'!$E$11*'01_Assumptions'!$E$12*'01_Assumptions'!$E$24*'01_Assumptions'!$E$33*(1+'01_Assumptions'!$E$34)^(2-1))-MAX(0,(($A27*'01_Assumptions'!$E$11*'01_Assumptions'!$E$12*'01_Assumptions'!$E$13*$B27*(1+'01_Assumptions'!$E$16)^(2-1)*'01_Assumptions'!$E$14*'01_Assumptions'!$E$15+'01_Assumptions'!$E$36*(1+'01_Assumptions'!$E$34)^(2-1)-ABS($C27)*'01_Assumptions'!$E$31*(1+'01_Assumptions'!$E$34)^(2-1)-'01_Assumptions'!$E$32*(1+'01_Assumptions'!$E$34)^(2-1)-$A27*'01_Assumptions'!$E$11*'01_Assumptions'!$E$12*'01_Assumptions'!$E$24*'01_Assumptions'!$E$33*(1+'01_Assumptions'!$E$34)^(2-1))-ABS($C27)/'01_Assumptions'!$E$9)*'01_Assumptions'!$E$8)</x:f>
        <x:v>503467.60680000007</x:v>
      </x:c>
      <x:c r="F27" s="126" t="n">
        <x:f>($A27*'01_Assumptions'!$E$11*'01_Assumptions'!$E$12*'01_Assumptions'!$E$13*$B27*(1+'01_Assumptions'!$E$16)^(3-1)*'01_Assumptions'!$E$14*'01_Assumptions'!$E$15+'01_Assumptions'!$E$36*(1+'01_Assumptions'!$E$34)^(3-1)-ABS($C27)*'01_Assumptions'!$E$31*(1+'01_Assumptions'!$E$34)^(3-1)-'01_Assumptions'!$E$32*(1+'01_Assumptions'!$E$34)^(3-1)-$A27*'01_Assumptions'!$E$11*'01_Assumptions'!$E$12*'01_Assumptions'!$E$24*'01_Assumptions'!$E$33*(1+'01_Assumptions'!$E$34)^(3-1))-MAX(0,(($A27*'01_Assumptions'!$E$11*'01_Assumptions'!$E$12*'01_Assumptions'!$E$13*$B27*(1+'01_Assumptions'!$E$16)^(3-1)*'01_Assumptions'!$E$14*'01_Assumptions'!$E$15+'01_Assumptions'!$E$36*(1+'01_Assumptions'!$E$34)^(3-1)-ABS($C27)*'01_Assumptions'!$E$31*(1+'01_Assumptions'!$E$34)^(3-1)-'01_Assumptions'!$E$32*(1+'01_Assumptions'!$E$34)^(3-1)-$A27*'01_Assumptions'!$E$11*'01_Assumptions'!$E$12*'01_Assumptions'!$E$24*'01_Assumptions'!$E$33*(1+'01_Assumptions'!$E$34)^(3-1))-ABS($C27)/'01_Assumptions'!$E$9)*'01_Assumptions'!$E$8)</x:f>
        <x:v>517391.187624</x:v>
      </x:c>
      <x:c r="G27" s="126" t="n">
        <x:f>($A27*'01_Assumptions'!$E$11*'01_Assumptions'!$E$12*'01_Assumptions'!$E$13*$B27*(1+'01_Assumptions'!$E$16)^(4-1)*'01_Assumptions'!$E$14*'01_Assumptions'!$E$15+'01_Assumptions'!$E$36*(1+'01_Assumptions'!$E$34)^(4-1)-ABS($C27)*'01_Assumptions'!$E$31*(1+'01_Assumptions'!$E$34)^(4-1)-'01_Assumptions'!$E$32*(1+'01_Assumptions'!$E$34)^(4-1)-$A27*'01_Assumptions'!$E$11*'01_Assumptions'!$E$12*'01_Assumptions'!$E$24*'01_Assumptions'!$E$33*(1+'01_Assumptions'!$E$34)^(4-1))-MAX(0,(($A27*'01_Assumptions'!$E$11*'01_Assumptions'!$E$12*'01_Assumptions'!$E$13*$B27*(1+'01_Assumptions'!$E$16)^(4-1)*'01_Assumptions'!$E$14*'01_Assumptions'!$E$15+'01_Assumptions'!$E$36*(1+'01_Assumptions'!$E$34)^(4-1)-ABS($C27)*'01_Assumptions'!$E$31*(1+'01_Assumptions'!$E$34)^(4-1)-'01_Assumptions'!$E$32*(1+'01_Assumptions'!$E$34)^(4-1)-$A27*'01_Assumptions'!$E$11*'01_Assumptions'!$E$12*'01_Assumptions'!$E$24*'01_Assumptions'!$E$33*(1+'01_Assumptions'!$E$34)^(4-1))-ABS($C27)/'01_Assumptions'!$E$9)*'01_Assumptions'!$E$8)</x:f>
        <x:v>531751.69432512</x:v>
      </x:c>
      <x:c r="H27" s="126" t="n">
        <x:f>($A27*'01_Assumptions'!$E$11*'01_Assumptions'!$E$12*'01_Assumptions'!$E$13*$B27*(1+'01_Assumptions'!$E$16)^(5-1)*'01_Assumptions'!$E$14*'01_Assumptions'!$E$15+'01_Assumptions'!$E$36*(1+'01_Assumptions'!$E$34)^(5-1)-ABS($C27)*'01_Assumptions'!$E$31*(1+'01_Assumptions'!$E$34)^(5-1)-'01_Assumptions'!$E$32*(1+'01_Assumptions'!$E$34)^(5-1)-$A27*'01_Assumptions'!$E$11*'01_Assumptions'!$E$12*'01_Assumptions'!$E$24*'01_Assumptions'!$E$33*(1+'01_Assumptions'!$E$34)^(5-1))-MAX(0,(($A27*'01_Assumptions'!$E$11*'01_Assumptions'!$E$12*'01_Assumptions'!$E$13*$B27*(1+'01_Assumptions'!$E$16)^(5-1)*'01_Assumptions'!$E$14*'01_Assumptions'!$E$15+'01_Assumptions'!$E$36*(1+'01_Assumptions'!$E$34)^(5-1)-ABS($C27)*'01_Assumptions'!$E$31*(1+'01_Assumptions'!$E$34)^(5-1)-'01_Assumptions'!$E$32*(1+'01_Assumptions'!$E$34)^(5-1)-$A27*'01_Assumptions'!$E$11*'01_Assumptions'!$E$12*'01_Assumptions'!$E$24*'01_Assumptions'!$E$33*(1+'01_Assumptions'!$E$34)^(5-1))-ABS($C27)/'01_Assumptions'!$E$9)*'01_Assumptions'!$E$8)+ABS($C27)*'01_Assumptions'!$E$35*(1-'01_Assumptions'!$E$8)</x:f>
        <x:v>615342.8690487219</x:v>
      </x:c>
      <x:c r="I27" s="126" t="n">
        <x:f>C27+NPV('01_Assumptions'!$E$7,D27:H27)</x:f>
        <x:v>373183.46116732364</x:v>
      </x:c>
      <x:c r="J27" s="287"/>
    </x:row>
    <x:row r="28">
      <x:c r="A28" s="52" t="n">
        <x:v>1.5</x:v>
      </x:c>
      <x:c r="B28" s="126" t="n">
        <x:v>450</x:v>
      </x:c>
      <x:c r="C28" s="126" t="n">
        <x:f>-SUM('01_Assumptions'!$E$25:$E$29)*(1+'01_Assumptions'!$E$30)</x:f>
        <x:v>-1732500.0000000002</x:v>
      </x:c>
      <x:c r="D28" s="126" t="n">
        <x:f>($A28*'01_Assumptions'!$E$11*'01_Assumptions'!$E$12*'01_Assumptions'!$E$13*$B28*(1+'01_Assumptions'!$E$16)^(1-1)*'01_Assumptions'!$E$14*'01_Assumptions'!$E$15+'01_Assumptions'!$E$36*(1+'01_Assumptions'!$E$34)^(1-1)-ABS($C28)*'01_Assumptions'!$E$31*(1+'01_Assumptions'!$E$34)^(1-1)-'01_Assumptions'!$E$32*(1+'01_Assumptions'!$E$34)^(1-1)-$A28*'01_Assumptions'!$E$11*'01_Assumptions'!$E$12*'01_Assumptions'!$E$24*'01_Assumptions'!$E$33*(1+'01_Assumptions'!$E$34)^(1-1))-MAX(0,(($A28*'01_Assumptions'!$E$11*'01_Assumptions'!$E$12*'01_Assumptions'!$E$13*$B28*(1+'01_Assumptions'!$E$16)^(1-1)*'01_Assumptions'!$E$14*'01_Assumptions'!$E$15+'01_Assumptions'!$E$36*(1+'01_Assumptions'!$E$34)^(1-1)-ABS($C28)*'01_Assumptions'!$E$31*(1+'01_Assumptions'!$E$34)^(1-1)-'01_Assumptions'!$E$32*(1+'01_Assumptions'!$E$34)^(1-1)-$A28*'01_Assumptions'!$E$11*'01_Assumptions'!$E$12*'01_Assumptions'!$E$24*'01_Assumptions'!$E$33*(1+'01_Assumptions'!$E$34)^(1-1))-ABS($C28)/'01_Assumptions'!$E$9)*'01_Assumptions'!$E$8)</x:f>
        <x:v>554067.48</x:v>
      </x:c>
      <x:c r="E28" s="126" t="n">
        <x:f>($A28*'01_Assumptions'!$E$11*'01_Assumptions'!$E$12*'01_Assumptions'!$E$13*$B28*(1+'01_Assumptions'!$E$16)^(2-1)*'01_Assumptions'!$E$14*'01_Assumptions'!$E$15+'01_Assumptions'!$E$36*(1+'01_Assumptions'!$E$34)^(2-1)-ABS($C28)*'01_Assumptions'!$E$31*(1+'01_Assumptions'!$E$34)^(2-1)-'01_Assumptions'!$E$32*(1+'01_Assumptions'!$E$34)^(2-1)-$A28*'01_Assumptions'!$E$11*'01_Assumptions'!$E$12*'01_Assumptions'!$E$24*'01_Assumptions'!$E$33*(1+'01_Assumptions'!$E$34)^(2-1))-MAX(0,(($A28*'01_Assumptions'!$E$11*'01_Assumptions'!$E$12*'01_Assumptions'!$E$13*$B28*(1+'01_Assumptions'!$E$16)^(2-1)*'01_Assumptions'!$E$14*'01_Assumptions'!$E$15+'01_Assumptions'!$E$36*(1+'01_Assumptions'!$E$34)^(2-1)-ABS($C28)*'01_Assumptions'!$E$31*(1+'01_Assumptions'!$E$34)^(2-1)-'01_Assumptions'!$E$32*(1+'01_Assumptions'!$E$34)^(2-1)-$A28*'01_Assumptions'!$E$11*'01_Assumptions'!$E$12*'01_Assumptions'!$E$24*'01_Assumptions'!$E$33*(1+'01_Assumptions'!$E$34)^(2-1))-ABS($C28)/'01_Assumptions'!$E$9)*'01_Assumptions'!$E$8)</x:f>
        <x:v>569490.2154</x:v>
      </x:c>
      <x:c r="F28" s="126" t="n">
        <x:f>($A28*'01_Assumptions'!$E$11*'01_Assumptions'!$E$12*'01_Assumptions'!$E$13*$B28*(1+'01_Assumptions'!$E$16)^(3-1)*'01_Assumptions'!$E$14*'01_Assumptions'!$E$15+'01_Assumptions'!$E$36*(1+'01_Assumptions'!$E$34)^(3-1)-ABS($C28)*'01_Assumptions'!$E$31*(1+'01_Assumptions'!$E$34)^(3-1)-'01_Assumptions'!$E$32*(1+'01_Assumptions'!$E$34)^(3-1)-$A28*'01_Assumptions'!$E$11*'01_Assumptions'!$E$12*'01_Assumptions'!$E$24*'01_Assumptions'!$E$33*(1+'01_Assumptions'!$E$34)^(3-1))-MAX(0,(($A28*'01_Assumptions'!$E$11*'01_Assumptions'!$E$12*'01_Assumptions'!$E$13*$B28*(1+'01_Assumptions'!$E$16)^(3-1)*'01_Assumptions'!$E$14*'01_Assumptions'!$E$15+'01_Assumptions'!$E$36*(1+'01_Assumptions'!$E$34)^(3-1)-ABS($C28)*'01_Assumptions'!$E$31*(1+'01_Assumptions'!$E$34)^(3-1)-'01_Assumptions'!$E$32*(1+'01_Assumptions'!$E$34)^(3-1)-$A28*'01_Assumptions'!$E$11*'01_Assumptions'!$E$12*'01_Assumptions'!$E$24*'01_Assumptions'!$E$33*(1+'01_Assumptions'!$E$34)^(3-1))-ABS($C28)/'01_Assumptions'!$E$9)*'01_Assumptions'!$E$8)</x:f>
        <x:v>585394.474482</x:v>
      </x:c>
      <x:c r="G28" s="126" t="n">
        <x:f>($A28*'01_Assumptions'!$E$11*'01_Assumptions'!$E$12*'01_Assumptions'!$E$13*$B28*(1+'01_Assumptions'!$E$16)^(4-1)*'01_Assumptions'!$E$14*'01_Assumptions'!$E$15+'01_Assumptions'!$E$36*(1+'01_Assumptions'!$E$34)^(4-1)-ABS($C28)*'01_Assumptions'!$E$31*(1+'01_Assumptions'!$E$34)^(4-1)-'01_Assumptions'!$E$32*(1+'01_Assumptions'!$E$34)^(4-1)-$A28*'01_Assumptions'!$E$11*'01_Assumptions'!$E$12*'01_Assumptions'!$E$24*'01_Assumptions'!$E$33*(1+'01_Assumptions'!$E$34)^(4-1))-MAX(0,(($A28*'01_Assumptions'!$E$11*'01_Assumptions'!$E$12*'01_Assumptions'!$E$13*$B28*(1+'01_Assumptions'!$E$16)^(4-1)*'01_Assumptions'!$E$14*'01_Assumptions'!$E$15+'01_Assumptions'!$E$36*(1+'01_Assumptions'!$E$34)^(4-1)-ABS($C28)*'01_Assumptions'!$E$31*(1+'01_Assumptions'!$E$34)^(4-1)-'01_Assumptions'!$E$32*(1+'01_Assumptions'!$E$34)^(4-1)-$A28*'01_Assumptions'!$E$11*'01_Assumptions'!$E$12*'01_Assumptions'!$E$24*'01_Assumptions'!$E$33*(1+'01_Assumptions'!$E$34)^(4-1))-ABS($C28)/'01_Assumptions'!$E$9)*'01_Assumptions'!$E$8)</x:f>
        <x:v>601795.07978886</x:v>
      </x:c>
      <x:c r="H28" s="126" t="n">
        <x:f>($A28*'01_Assumptions'!$E$11*'01_Assumptions'!$E$12*'01_Assumptions'!$E$13*$B28*(1+'01_Assumptions'!$E$16)^(5-1)*'01_Assumptions'!$E$14*'01_Assumptions'!$E$15+'01_Assumptions'!$E$36*(1+'01_Assumptions'!$E$34)^(5-1)-ABS($C28)*'01_Assumptions'!$E$31*(1+'01_Assumptions'!$E$34)^(5-1)-'01_Assumptions'!$E$32*(1+'01_Assumptions'!$E$34)^(5-1)-$A28*'01_Assumptions'!$E$11*'01_Assumptions'!$E$12*'01_Assumptions'!$E$24*'01_Assumptions'!$E$33*(1+'01_Assumptions'!$E$34)^(5-1))-MAX(0,(($A28*'01_Assumptions'!$E$11*'01_Assumptions'!$E$12*'01_Assumptions'!$E$13*$B28*(1+'01_Assumptions'!$E$16)^(5-1)*'01_Assumptions'!$E$14*'01_Assumptions'!$E$15+'01_Assumptions'!$E$36*(1+'01_Assumptions'!$E$34)^(5-1)-ABS($C28)*'01_Assumptions'!$E$31*(1+'01_Assumptions'!$E$34)^(5-1)-'01_Assumptions'!$E$32*(1+'01_Assumptions'!$E$34)^(5-1)-$A28*'01_Assumptions'!$E$11*'01_Assumptions'!$E$12*'01_Assumptions'!$E$24*'01_Assumptions'!$E$33*(1+'01_Assumptions'!$E$34)^(5-1))-ABS($C28)/'01_Assumptions'!$E$9)*'01_Assumptions'!$E$8)+ABS($C28)*'01_Assumptions'!$E$35*(1-'01_Assumptions'!$E$8)</x:f>
        <x:v>687487.556076374</x:v>
      </x:c>
      <x:c r="I28" s="126" t="n">
        <x:f>C28+NPV('01_Assumptions'!$E$7,D28:H28)</x:f>
        <x:v>643706.3491939746</x:v>
      </x:c>
      <x:c r="J28" s="287"/>
    </x:row>
    <x:row r="29">
      <x:c r="A29" s="52" t="n">
        <x:v>1.5</x:v>
      </x:c>
      <x:c r="B29" s="126" t="n">
        <x:v>500</x:v>
      </x:c>
      <x:c r="C29" s="126" t="n">
        <x:f>-SUM('01_Assumptions'!$E$25:$E$29)*(1+'01_Assumptions'!$E$30)</x:f>
        <x:v>-1732500.0000000002</x:v>
      </x:c>
      <x:c r="D29" s="126" t="n">
        <x:f>($A29*'01_Assumptions'!$E$11*'01_Assumptions'!$E$12*'01_Assumptions'!$E$13*$B29*(1+'01_Assumptions'!$E$16)^(1-1)*'01_Assumptions'!$E$14*'01_Assumptions'!$E$15+'01_Assumptions'!$E$36*(1+'01_Assumptions'!$E$34)^(1-1)-ABS($C29)*'01_Assumptions'!$E$31*(1+'01_Assumptions'!$E$34)^(1-1)-'01_Assumptions'!$E$32*(1+'01_Assumptions'!$E$34)^(1-1)-$A29*'01_Assumptions'!$E$11*'01_Assumptions'!$E$12*'01_Assumptions'!$E$24*'01_Assumptions'!$E$33*(1+'01_Assumptions'!$E$34)^(1-1))-MAX(0,(($A29*'01_Assumptions'!$E$11*'01_Assumptions'!$E$12*'01_Assumptions'!$E$13*$B29*(1+'01_Assumptions'!$E$16)^(1-1)*'01_Assumptions'!$E$14*'01_Assumptions'!$E$15+'01_Assumptions'!$E$36*(1+'01_Assumptions'!$E$34)^(1-1)-ABS($C29)*'01_Assumptions'!$E$31*(1+'01_Assumptions'!$E$34)^(1-1)-'01_Assumptions'!$E$32*(1+'01_Assumptions'!$E$34)^(1-1)-$A29*'01_Assumptions'!$E$11*'01_Assumptions'!$E$12*'01_Assumptions'!$E$24*'01_Assumptions'!$E$33*(1+'01_Assumptions'!$E$34)^(1-1))-ABS($C29)/'01_Assumptions'!$E$9)*'01_Assumptions'!$E$8)</x:f>
        <x:v>618167.1</x:v>
      </x:c>
      <x:c r="E29" s="126" t="n">
        <x:f>($A29*'01_Assumptions'!$E$11*'01_Assumptions'!$E$12*'01_Assumptions'!$E$13*$B29*(1+'01_Assumptions'!$E$16)^(2-1)*'01_Assumptions'!$E$14*'01_Assumptions'!$E$15+'01_Assumptions'!$E$36*(1+'01_Assumptions'!$E$34)^(2-1)-ABS($C29)*'01_Assumptions'!$E$31*(1+'01_Assumptions'!$E$34)^(2-1)-'01_Assumptions'!$E$32*(1+'01_Assumptions'!$E$34)^(2-1)-$A29*'01_Assumptions'!$E$11*'01_Assumptions'!$E$12*'01_Assumptions'!$E$24*'01_Assumptions'!$E$33*(1+'01_Assumptions'!$E$34)^(2-1))-MAX(0,(($A29*'01_Assumptions'!$E$11*'01_Assumptions'!$E$12*'01_Assumptions'!$E$13*$B29*(1+'01_Assumptions'!$E$16)^(2-1)*'01_Assumptions'!$E$14*'01_Assumptions'!$E$15+'01_Assumptions'!$E$36*(1+'01_Assumptions'!$E$34)^(2-1)-ABS($C29)*'01_Assumptions'!$E$31*(1+'01_Assumptions'!$E$34)^(2-1)-'01_Assumptions'!$E$32*(1+'01_Assumptions'!$E$34)^(2-1)-$A29*'01_Assumptions'!$E$11*'01_Assumptions'!$E$12*'01_Assumptions'!$E$24*'01_Assumptions'!$E$33*(1+'01_Assumptions'!$E$34)^(2-1))-ABS($C29)/'01_Assumptions'!$E$9)*'01_Assumptions'!$E$8)</x:f>
        <x:v>635512.824</x:v>
      </x:c>
      <x:c r="F29" s="126" t="n">
        <x:f>($A29*'01_Assumptions'!$E$11*'01_Assumptions'!$E$12*'01_Assumptions'!$E$13*$B29*(1+'01_Assumptions'!$E$16)^(3-1)*'01_Assumptions'!$E$14*'01_Assumptions'!$E$15+'01_Assumptions'!$E$36*(1+'01_Assumptions'!$E$34)^(3-1)-ABS($C29)*'01_Assumptions'!$E$31*(1+'01_Assumptions'!$E$34)^(3-1)-'01_Assumptions'!$E$32*(1+'01_Assumptions'!$E$34)^(3-1)-$A29*'01_Assumptions'!$E$11*'01_Assumptions'!$E$12*'01_Assumptions'!$E$24*'01_Assumptions'!$E$33*(1+'01_Assumptions'!$E$34)^(3-1))-MAX(0,(($A29*'01_Assumptions'!$E$11*'01_Assumptions'!$E$12*'01_Assumptions'!$E$13*$B29*(1+'01_Assumptions'!$E$16)^(3-1)*'01_Assumptions'!$E$14*'01_Assumptions'!$E$15+'01_Assumptions'!$E$36*(1+'01_Assumptions'!$E$34)^(3-1)-ABS($C29)*'01_Assumptions'!$E$31*(1+'01_Assumptions'!$E$34)^(3-1)-'01_Assumptions'!$E$32*(1+'01_Assumptions'!$E$34)^(3-1)-$A29*'01_Assumptions'!$E$11*'01_Assumptions'!$E$12*'01_Assumptions'!$E$24*'01_Assumptions'!$E$33*(1+'01_Assumptions'!$E$34)^(3-1))-ABS($C29)/'01_Assumptions'!$E$9)*'01_Assumptions'!$E$8)</x:f>
        <x:v>653397.76134</x:v>
      </x:c>
      <x:c r="G29" s="126" t="n">
        <x:f>($A29*'01_Assumptions'!$E$11*'01_Assumptions'!$E$12*'01_Assumptions'!$E$13*$B29*(1+'01_Assumptions'!$E$16)^(4-1)*'01_Assumptions'!$E$14*'01_Assumptions'!$E$15+'01_Assumptions'!$E$36*(1+'01_Assumptions'!$E$34)^(4-1)-ABS($C29)*'01_Assumptions'!$E$31*(1+'01_Assumptions'!$E$34)^(4-1)-'01_Assumptions'!$E$32*(1+'01_Assumptions'!$E$34)^(4-1)-$A29*'01_Assumptions'!$E$11*'01_Assumptions'!$E$12*'01_Assumptions'!$E$24*'01_Assumptions'!$E$33*(1+'01_Assumptions'!$E$34)^(4-1))-MAX(0,(($A29*'01_Assumptions'!$E$11*'01_Assumptions'!$E$12*'01_Assumptions'!$E$13*$B29*(1+'01_Assumptions'!$E$16)^(4-1)*'01_Assumptions'!$E$14*'01_Assumptions'!$E$15+'01_Assumptions'!$E$36*(1+'01_Assumptions'!$E$34)^(4-1)-ABS($C29)*'01_Assumptions'!$E$31*(1+'01_Assumptions'!$E$34)^(4-1)-'01_Assumptions'!$E$32*(1+'01_Assumptions'!$E$34)^(4-1)-$A29*'01_Assumptions'!$E$11*'01_Assumptions'!$E$12*'01_Assumptions'!$E$24*'01_Assumptions'!$E$33*(1+'01_Assumptions'!$E$34)^(4-1))-ABS($C29)/'01_Assumptions'!$E$9)*'01_Assumptions'!$E$8)</x:f>
        <x:v>671838.4652526</x:v>
      </x:c>
      <x:c r="H29" s="126" t="n">
        <x:f>($A29*'01_Assumptions'!$E$11*'01_Assumptions'!$E$12*'01_Assumptions'!$E$13*$B29*(1+'01_Assumptions'!$E$16)^(5-1)*'01_Assumptions'!$E$14*'01_Assumptions'!$E$15+'01_Assumptions'!$E$36*(1+'01_Assumptions'!$E$34)^(5-1)-ABS($C29)*'01_Assumptions'!$E$31*(1+'01_Assumptions'!$E$34)^(5-1)-'01_Assumptions'!$E$32*(1+'01_Assumptions'!$E$34)^(5-1)-$A29*'01_Assumptions'!$E$11*'01_Assumptions'!$E$12*'01_Assumptions'!$E$24*'01_Assumptions'!$E$33*(1+'01_Assumptions'!$E$34)^(5-1))-MAX(0,(($A29*'01_Assumptions'!$E$11*'01_Assumptions'!$E$12*'01_Assumptions'!$E$13*$B29*(1+'01_Assumptions'!$E$16)^(5-1)*'01_Assumptions'!$E$14*'01_Assumptions'!$E$15+'01_Assumptions'!$E$36*(1+'01_Assumptions'!$E$34)^(5-1)-ABS($C29)*'01_Assumptions'!$E$31*(1+'01_Assumptions'!$E$34)^(5-1)-'01_Assumptions'!$E$32*(1+'01_Assumptions'!$E$34)^(5-1)-$A29*'01_Assumptions'!$E$11*'01_Assumptions'!$E$12*'01_Assumptions'!$E$24*'01_Assumptions'!$E$33*(1+'01_Assumptions'!$E$34)^(5-1))-ABS($C29)/'01_Assumptions'!$E$9)*'01_Assumptions'!$E$8)+ABS($C29)*'01_Assumptions'!$E$35*(1-'01_Assumptions'!$E$8)</x:f>
        <x:v>759632.2431040262</x:v>
      </x:c>
      <x:c r="I29" s="126" t="n">
        <x:f>C29+NPV('01_Assumptions'!$E$7,D29:H29)</x:f>
        <x:v>914229.2372206261</x:v>
      </x:c>
      <x:c r="J29" s="287"/>
    </x:row>
    <x:row r="30">
      <x:c r="A30" s="52" t="n">
        <x:v>1.5</x:v>
      </x:c>
      <x:c r="B30" s="126" t="n">
        <x:v>550</x:v>
      </x:c>
      <x:c r="C30" s="126" t="n">
        <x:f>-SUM('01_Assumptions'!$E$25:$E$29)*(1+'01_Assumptions'!$E$30)</x:f>
        <x:v>-1732500.0000000002</x:v>
      </x:c>
      <x:c r="D30" s="126" t="n">
        <x:f>($A30*'01_Assumptions'!$E$11*'01_Assumptions'!$E$12*'01_Assumptions'!$E$13*$B30*(1+'01_Assumptions'!$E$16)^(1-1)*'01_Assumptions'!$E$14*'01_Assumptions'!$E$15+'01_Assumptions'!$E$36*(1+'01_Assumptions'!$E$34)^(1-1)-ABS($C30)*'01_Assumptions'!$E$31*(1+'01_Assumptions'!$E$34)^(1-1)-'01_Assumptions'!$E$32*(1+'01_Assumptions'!$E$34)^(1-1)-$A30*'01_Assumptions'!$E$11*'01_Assumptions'!$E$12*'01_Assumptions'!$E$24*'01_Assumptions'!$E$33*(1+'01_Assumptions'!$E$34)^(1-1))-MAX(0,(($A30*'01_Assumptions'!$E$11*'01_Assumptions'!$E$12*'01_Assumptions'!$E$13*$B30*(1+'01_Assumptions'!$E$16)^(1-1)*'01_Assumptions'!$E$14*'01_Assumptions'!$E$15+'01_Assumptions'!$E$36*(1+'01_Assumptions'!$E$34)^(1-1)-ABS($C30)*'01_Assumptions'!$E$31*(1+'01_Assumptions'!$E$34)^(1-1)-'01_Assumptions'!$E$32*(1+'01_Assumptions'!$E$34)^(1-1)-$A30*'01_Assumptions'!$E$11*'01_Assumptions'!$E$12*'01_Assumptions'!$E$24*'01_Assumptions'!$E$33*(1+'01_Assumptions'!$E$34)^(1-1))-ABS($C30)/'01_Assumptions'!$E$9)*'01_Assumptions'!$E$8)</x:f>
        <x:v>682266.72</x:v>
      </x:c>
      <x:c r="E30" s="126" t="n">
        <x:f>($A30*'01_Assumptions'!$E$11*'01_Assumptions'!$E$12*'01_Assumptions'!$E$13*$B30*(1+'01_Assumptions'!$E$16)^(2-1)*'01_Assumptions'!$E$14*'01_Assumptions'!$E$15+'01_Assumptions'!$E$36*(1+'01_Assumptions'!$E$34)^(2-1)-ABS($C30)*'01_Assumptions'!$E$31*(1+'01_Assumptions'!$E$34)^(2-1)-'01_Assumptions'!$E$32*(1+'01_Assumptions'!$E$34)^(2-1)-$A30*'01_Assumptions'!$E$11*'01_Assumptions'!$E$12*'01_Assumptions'!$E$24*'01_Assumptions'!$E$33*(1+'01_Assumptions'!$E$34)^(2-1))-MAX(0,(($A30*'01_Assumptions'!$E$11*'01_Assumptions'!$E$12*'01_Assumptions'!$E$13*$B30*(1+'01_Assumptions'!$E$16)^(2-1)*'01_Assumptions'!$E$14*'01_Assumptions'!$E$15+'01_Assumptions'!$E$36*(1+'01_Assumptions'!$E$34)^(2-1)-ABS($C30)*'01_Assumptions'!$E$31*(1+'01_Assumptions'!$E$34)^(2-1)-'01_Assumptions'!$E$32*(1+'01_Assumptions'!$E$34)^(2-1)-$A30*'01_Assumptions'!$E$11*'01_Assumptions'!$E$12*'01_Assumptions'!$E$24*'01_Assumptions'!$E$33*(1+'01_Assumptions'!$E$34)^(2-1))-ABS($C30)/'01_Assumptions'!$E$9)*'01_Assumptions'!$E$8)</x:f>
        <x:v>701535.4326000001</x:v>
      </x:c>
      <x:c r="F30" s="126" t="n">
        <x:f>($A30*'01_Assumptions'!$E$11*'01_Assumptions'!$E$12*'01_Assumptions'!$E$13*$B30*(1+'01_Assumptions'!$E$16)^(3-1)*'01_Assumptions'!$E$14*'01_Assumptions'!$E$15+'01_Assumptions'!$E$36*(1+'01_Assumptions'!$E$34)^(3-1)-ABS($C30)*'01_Assumptions'!$E$31*(1+'01_Assumptions'!$E$34)^(3-1)-'01_Assumptions'!$E$32*(1+'01_Assumptions'!$E$34)^(3-1)-$A30*'01_Assumptions'!$E$11*'01_Assumptions'!$E$12*'01_Assumptions'!$E$24*'01_Assumptions'!$E$33*(1+'01_Assumptions'!$E$34)^(3-1))-MAX(0,(($A30*'01_Assumptions'!$E$11*'01_Assumptions'!$E$12*'01_Assumptions'!$E$13*$B30*(1+'01_Assumptions'!$E$16)^(3-1)*'01_Assumptions'!$E$14*'01_Assumptions'!$E$15+'01_Assumptions'!$E$36*(1+'01_Assumptions'!$E$34)^(3-1)-ABS($C30)*'01_Assumptions'!$E$31*(1+'01_Assumptions'!$E$34)^(3-1)-'01_Assumptions'!$E$32*(1+'01_Assumptions'!$E$34)^(3-1)-$A30*'01_Assumptions'!$E$11*'01_Assumptions'!$E$12*'01_Assumptions'!$E$24*'01_Assumptions'!$E$33*(1+'01_Assumptions'!$E$34)^(3-1))-ABS($C30)/'01_Assumptions'!$E$9)*'01_Assumptions'!$E$8)</x:f>
        <x:v>721401.0481980001</x:v>
      </x:c>
      <x:c r="G30" s="126" t="n">
        <x:f>($A30*'01_Assumptions'!$E$11*'01_Assumptions'!$E$12*'01_Assumptions'!$E$13*$B30*(1+'01_Assumptions'!$E$16)^(4-1)*'01_Assumptions'!$E$14*'01_Assumptions'!$E$15+'01_Assumptions'!$E$36*(1+'01_Assumptions'!$E$34)^(4-1)-ABS($C30)*'01_Assumptions'!$E$31*(1+'01_Assumptions'!$E$34)^(4-1)-'01_Assumptions'!$E$32*(1+'01_Assumptions'!$E$34)^(4-1)-$A30*'01_Assumptions'!$E$11*'01_Assumptions'!$E$12*'01_Assumptions'!$E$24*'01_Assumptions'!$E$33*(1+'01_Assumptions'!$E$34)^(4-1))-MAX(0,(($A30*'01_Assumptions'!$E$11*'01_Assumptions'!$E$12*'01_Assumptions'!$E$13*$B30*(1+'01_Assumptions'!$E$16)^(4-1)*'01_Assumptions'!$E$14*'01_Assumptions'!$E$15+'01_Assumptions'!$E$36*(1+'01_Assumptions'!$E$34)^(4-1)-ABS($C30)*'01_Assumptions'!$E$31*(1+'01_Assumptions'!$E$34)^(4-1)-'01_Assumptions'!$E$32*(1+'01_Assumptions'!$E$34)^(4-1)-$A30*'01_Assumptions'!$E$11*'01_Assumptions'!$E$12*'01_Assumptions'!$E$24*'01_Assumptions'!$E$33*(1+'01_Assumptions'!$E$34)^(4-1))-ABS($C30)/'01_Assumptions'!$E$9)*'01_Assumptions'!$E$8)</x:f>
        <x:v>741881.8507163399</x:v>
      </x:c>
      <x:c r="H30" s="126" t="n">
        <x:f>($A30*'01_Assumptions'!$E$11*'01_Assumptions'!$E$12*'01_Assumptions'!$E$13*$B30*(1+'01_Assumptions'!$E$16)^(5-1)*'01_Assumptions'!$E$14*'01_Assumptions'!$E$15+'01_Assumptions'!$E$36*(1+'01_Assumptions'!$E$34)^(5-1)-ABS($C30)*'01_Assumptions'!$E$31*(1+'01_Assumptions'!$E$34)^(5-1)-'01_Assumptions'!$E$32*(1+'01_Assumptions'!$E$34)^(5-1)-$A30*'01_Assumptions'!$E$11*'01_Assumptions'!$E$12*'01_Assumptions'!$E$24*'01_Assumptions'!$E$33*(1+'01_Assumptions'!$E$34)^(5-1))-MAX(0,(($A30*'01_Assumptions'!$E$11*'01_Assumptions'!$E$12*'01_Assumptions'!$E$13*$B30*(1+'01_Assumptions'!$E$16)^(5-1)*'01_Assumptions'!$E$14*'01_Assumptions'!$E$15+'01_Assumptions'!$E$36*(1+'01_Assumptions'!$E$34)^(5-1)-ABS($C30)*'01_Assumptions'!$E$31*(1+'01_Assumptions'!$E$34)^(5-1)-'01_Assumptions'!$E$32*(1+'01_Assumptions'!$E$34)^(5-1)-$A30*'01_Assumptions'!$E$11*'01_Assumptions'!$E$12*'01_Assumptions'!$E$24*'01_Assumptions'!$E$33*(1+'01_Assumptions'!$E$34)^(5-1))-ABS($C30)/'01_Assumptions'!$E$9)*'01_Assumptions'!$E$8)+ABS($C30)*'01_Assumptions'!$E$35*(1-'01_Assumptions'!$E$8)</x:f>
        <x:v>831776.9301316785</x:v>
      </x:c>
      <x:c r="I30" s="126" t="n">
        <x:f>C30+NPV('01_Assumptions'!$E$7,D30:H30)</x:f>
        <x:v>1184752.125247277</x:v>
      </x:c>
      <x:c r="J30" s="287"/>
    </x:row>
    <x:row r="31">
      <x:c r="A31" s="52" t="n">
        <x:v>2</x:v>
      </x:c>
      <x:c r="B31" s="126" t="n">
        <x:v>350</x:v>
      </x:c>
      <x:c r="C31" s="126" t="n">
        <x:f>-SUM('01_Assumptions'!$E$25:$E$29)*(1+'01_Assumptions'!$E$30)</x:f>
        <x:v>-1732500.0000000002</x:v>
      </x:c>
      <x:c r="D31" s="126" t="n">
        <x:f>($A31*'01_Assumptions'!$E$11*'01_Assumptions'!$E$12*'01_Assumptions'!$E$13*$B31*(1+'01_Assumptions'!$E$16)^(1-1)*'01_Assumptions'!$E$14*'01_Assumptions'!$E$15+'01_Assumptions'!$E$36*(1+'01_Assumptions'!$E$34)^(1-1)-ABS($C31)*'01_Assumptions'!$E$31*(1+'01_Assumptions'!$E$34)^(1-1)-'01_Assumptions'!$E$32*(1+'01_Assumptions'!$E$34)^(1-1)-$A31*'01_Assumptions'!$E$11*'01_Assumptions'!$E$12*'01_Assumptions'!$E$24*'01_Assumptions'!$E$33*(1+'01_Assumptions'!$E$34)^(1-1))-MAX(0,(($A31*'01_Assumptions'!$E$11*'01_Assumptions'!$E$12*'01_Assumptions'!$E$13*$B31*(1+'01_Assumptions'!$E$16)^(1-1)*'01_Assumptions'!$E$14*'01_Assumptions'!$E$15+'01_Assumptions'!$E$36*(1+'01_Assumptions'!$E$34)^(1-1)-ABS($C31)*'01_Assumptions'!$E$31*(1+'01_Assumptions'!$E$34)^(1-1)-'01_Assumptions'!$E$32*(1+'01_Assumptions'!$E$34)^(1-1)-$A31*'01_Assumptions'!$E$11*'01_Assumptions'!$E$12*'01_Assumptions'!$E$24*'01_Assumptions'!$E$33*(1+'01_Assumptions'!$E$34)^(1-1))-ABS($C31)/'01_Assumptions'!$E$9)*'01_Assumptions'!$E$8)</x:f>
        <x:v>574898.0700000001</x:v>
      </x:c>
      <x:c r="E31" s="126" t="n">
        <x:f>($A31*'01_Assumptions'!$E$11*'01_Assumptions'!$E$12*'01_Assumptions'!$E$13*$B31*(1+'01_Assumptions'!$E$16)^(2-1)*'01_Assumptions'!$E$14*'01_Assumptions'!$E$15+'01_Assumptions'!$E$36*(1+'01_Assumptions'!$E$34)^(2-1)-ABS($C31)*'01_Assumptions'!$E$31*(1+'01_Assumptions'!$E$34)^(2-1)-'01_Assumptions'!$E$32*(1+'01_Assumptions'!$E$34)^(2-1)-$A31*'01_Assumptions'!$E$11*'01_Assumptions'!$E$12*'01_Assumptions'!$E$24*'01_Assumptions'!$E$33*(1+'01_Assumptions'!$E$34)^(2-1))-MAX(0,(($A31*'01_Assumptions'!$E$11*'01_Assumptions'!$E$12*'01_Assumptions'!$E$13*$B31*(1+'01_Assumptions'!$E$16)^(2-1)*'01_Assumptions'!$E$14*'01_Assumptions'!$E$15+'01_Assumptions'!$E$36*(1+'01_Assumptions'!$E$34)^(2-1)-ABS($C31)*'01_Assumptions'!$E$31*(1+'01_Assumptions'!$E$34)^(2-1)-'01_Assumptions'!$E$32*(1+'01_Assumptions'!$E$34)^(2-1)-$A31*'01_Assumptions'!$E$11*'01_Assumptions'!$E$12*'01_Assumptions'!$E$24*'01_Assumptions'!$E$33*(1+'01_Assumptions'!$E$34)^(2-1))-ABS($C31)/'01_Assumptions'!$E$9)*'01_Assumptions'!$E$8)</x:f>
        <x:v>590951.0826000001</x:v>
      </x:c>
      <x:c r="F31" s="126" t="n">
        <x:f>($A31*'01_Assumptions'!$E$11*'01_Assumptions'!$E$12*'01_Assumptions'!$E$13*$B31*(1+'01_Assumptions'!$E$16)^(3-1)*'01_Assumptions'!$E$14*'01_Assumptions'!$E$15+'01_Assumptions'!$E$36*(1+'01_Assumptions'!$E$34)^(3-1)-ABS($C31)*'01_Assumptions'!$E$31*(1+'01_Assumptions'!$E$34)^(3-1)-'01_Assumptions'!$E$32*(1+'01_Assumptions'!$E$34)^(3-1)-$A31*'01_Assumptions'!$E$11*'01_Assumptions'!$E$12*'01_Assumptions'!$E$24*'01_Assumptions'!$E$33*(1+'01_Assumptions'!$E$34)^(3-1))-MAX(0,(($A31*'01_Assumptions'!$E$11*'01_Assumptions'!$E$12*'01_Assumptions'!$E$13*$B31*(1+'01_Assumptions'!$E$16)^(3-1)*'01_Assumptions'!$E$14*'01_Assumptions'!$E$15+'01_Assumptions'!$E$36*(1+'01_Assumptions'!$E$34)^(3-1)-ABS($C31)*'01_Assumptions'!$E$31*(1+'01_Assumptions'!$E$34)^(3-1)-'01_Assumptions'!$E$32*(1+'01_Assumptions'!$E$34)^(3-1)-$A31*'01_Assumptions'!$E$11*'01_Assumptions'!$E$12*'01_Assumptions'!$E$24*'01_Assumptions'!$E$33*(1+'01_Assumptions'!$E$34)^(3-1))-ABS($C31)/'01_Assumptions'!$E$9)*'01_Assumptions'!$E$8)</x:f>
        <x:v>607504.634388</x:v>
      </x:c>
      <x:c r="G31" s="126" t="n">
        <x:f>($A31*'01_Assumptions'!$E$11*'01_Assumptions'!$E$12*'01_Assumptions'!$E$13*$B31*(1+'01_Assumptions'!$E$16)^(4-1)*'01_Assumptions'!$E$14*'01_Assumptions'!$E$15+'01_Assumptions'!$E$36*(1+'01_Assumptions'!$E$34)^(4-1)-ABS($C31)*'01_Assumptions'!$E$31*(1+'01_Assumptions'!$E$34)^(4-1)-'01_Assumptions'!$E$32*(1+'01_Assumptions'!$E$34)^(4-1)-$A31*'01_Assumptions'!$E$11*'01_Assumptions'!$E$12*'01_Assumptions'!$E$24*'01_Assumptions'!$E$33*(1+'01_Assumptions'!$E$34)^(4-1))-MAX(0,(($A31*'01_Assumptions'!$E$11*'01_Assumptions'!$E$12*'01_Assumptions'!$E$13*$B31*(1+'01_Assumptions'!$E$16)^(4-1)*'01_Assumptions'!$E$14*'01_Assumptions'!$E$15+'01_Assumptions'!$E$36*(1+'01_Assumptions'!$E$34)^(4-1)-ABS($C31)*'01_Assumptions'!$E$31*(1+'01_Assumptions'!$E$34)^(4-1)-'01_Assumptions'!$E$32*(1+'01_Assumptions'!$E$34)^(4-1)-$A31*'01_Assumptions'!$E$11*'01_Assumptions'!$E$12*'01_Assumptions'!$E$24*'01_Assumptions'!$E$33*(1+'01_Assumptions'!$E$34)^(4-1))-ABS($C31)/'01_Assumptions'!$E$9)*'01_Assumptions'!$E$8)</x:f>
        <x:v>624574.1205158401</x:v>
      </x:c>
      <x:c r="H31" s="126" t="n">
        <x:f>($A31*'01_Assumptions'!$E$11*'01_Assumptions'!$E$12*'01_Assumptions'!$E$13*$B31*(1+'01_Assumptions'!$E$16)^(5-1)*'01_Assumptions'!$E$14*'01_Assumptions'!$E$15+'01_Assumptions'!$E$36*(1+'01_Assumptions'!$E$34)^(5-1)-ABS($C31)*'01_Assumptions'!$E$31*(1+'01_Assumptions'!$E$34)^(5-1)-'01_Assumptions'!$E$32*(1+'01_Assumptions'!$E$34)^(5-1)-$A31*'01_Assumptions'!$E$11*'01_Assumptions'!$E$12*'01_Assumptions'!$E$24*'01_Assumptions'!$E$33*(1+'01_Assumptions'!$E$34)^(5-1))-MAX(0,(($A31*'01_Assumptions'!$E$11*'01_Assumptions'!$E$12*'01_Assumptions'!$E$13*$B31*(1+'01_Assumptions'!$E$16)^(5-1)*'01_Assumptions'!$E$14*'01_Assumptions'!$E$15+'01_Assumptions'!$E$36*(1+'01_Assumptions'!$E$34)^(5-1)-ABS($C31)*'01_Assumptions'!$E$31*(1+'01_Assumptions'!$E$34)^(5-1)-'01_Assumptions'!$E$32*(1+'01_Assumptions'!$E$34)^(5-1)-$A31*'01_Assumptions'!$E$11*'01_Assumptions'!$E$12*'01_Assumptions'!$E$24*'01_Assumptions'!$E$33*(1+'01_Assumptions'!$E$34)^(5-1))-ABS($C31)/'01_Assumptions'!$E$9)*'01_Assumptions'!$E$8)+ABS($C31)*'01_Assumptions'!$E$35*(1-'01_Assumptions'!$E$8)</x:f>
        <x:v>710955.6555694394</x:v>
      </x:c>
      <x:c r="I31" s="126" t="n">
        <x:f>C31+NPV('01_Assumptions'!$E$7,D31:H31)</x:f>
        <x:v>731660.1940163968</x:v>
      </x:c>
      <x:c r="J31" s="287"/>
    </x:row>
    <x:row r="32">
      <x:c r="A32" s="52" t="n">
        <x:v>2</x:v>
      </x:c>
      <x:c r="B32" s="126" t="n">
        <x:v>400</x:v>
      </x:c>
      <x:c r="C32" s="126" t="n">
        <x:f>-SUM('01_Assumptions'!$E$25:$E$29)*(1+'01_Assumptions'!$E$30)</x:f>
        <x:v>-1732500.0000000002</x:v>
      </x:c>
      <x:c r="D32" s="126" t="n">
        <x:f>($A32*'01_Assumptions'!$E$11*'01_Assumptions'!$E$12*'01_Assumptions'!$E$13*$B32*(1+'01_Assumptions'!$E$16)^(1-1)*'01_Assumptions'!$E$14*'01_Assumptions'!$E$15+'01_Assumptions'!$E$36*(1+'01_Assumptions'!$E$34)^(1-1)-ABS($C32)*'01_Assumptions'!$E$31*(1+'01_Assumptions'!$E$34)^(1-1)-'01_Assumptions'!$E$32*(1+'01_Assumptions'!$E$34)^(1-1)-$A32*'01_Assumptions'!$E$11*'01_Assumptions'!$E$12*'01_Assumptions'!$E$24*'01_Assumptions'!$E$33*(1+'01_Assumptions'!$E$34)^(1-1))-MAX(0,(($A32*'01_Assumptions'!$E$11*'01_Assumptions'!$E$12*'01_Assumptions'!$E$13*$B32*(1+'01_Assumptions'!$E$16)^(1-1)*'01_Assumptions'!$E$14*'01_Assumptions'!$E$15+'01_Assumptions'!$E$36*(1+'01_Assumptions'!$E$34)^(1-1)-ABS($C32)*'01_Assumptions'!$E$31*(1+'01_Assumptions'!$E$34)^(1-1)-'01_Assumptions'!$E$32*(1+'01_Assumptions'!$E$34)^(1-1)-$A32*'01_Assumptions'!$E$11*'01_Assumptions'!$E$12*'01_Assumptions'!$E$24*'01_Assumptions'!$E$33*(1+'01_Assumptions'!$E$34)^(1-1))-ABS($C32)/'01_Assumptions'!$E$9)*'01_Assumptions'!$E$8)</x:f>
        <x:v>660364.23</x:v>
      </x:c>
      <x:c r="E32" s="126" t="n">
        <x:f>($A32*'01_Assumptions'!$E$11*'01_Assumptions'!$E$12*'01_Assumptions'!$E$13*$B32*(1+'01_Assumptions'!$E$16)^(2-1)*'01_Assumptions'!$E$14*'01_Assumptions'!$E$15+'01_Assumptions'!$E$36*(1+'01_Assumptions'!$E$34)^(2-1)-ABS($C32)*'01_Assumptions'!$E$31*(1+'01_Assumptions'!$E$34)^(2-1)-'01_Assumptions'!$E$32*(1+'01_Assumptions'!$E$34)^(2-1)-$A32*'01_Assumptions'!$E$11*'01_Assumptions'!$E$12*'01_Assumptions'!$E$24*'01_Assumptions'!$E$33*(1+'01_Assumptions'!$E$34)^(2-1))-MAX(0,(($A32*'01_Assumptions'!$E$11*'01_Assumptions'!$E$12*'01_Assumptions'!$E$13*$B32*(1+'01_Assumptions'!$E$16)^(2-1)*'01_Assumptions'!$E$14*'01_Assumptions'!$E$15+'01_Assumptions'!$E$36*(1+'01_Assumptions'!$E$34)^(2-1)-ABS($C32)*'01_Assumptions'!$E$31*(1+'01_Assumptions'!$E$34)^(2-1)-'01_Assumptions'!$E$32*(1+'01_Assumptions'!$E$34)^(2-1)-$A32*'01_Assumptions'!$E$11*'01_Assumptions'!$E$12*'01_Assumptions'!$E$24*'01_Assumptions'!$E$33*(1+'01_Assumptions'!$E$34)^(2-1))-ABS($C32)/'01_Assumptions'!$E$9)*'01_Assumptions'!$E$8)</x:f>
        <x:v>678981.2274000001</x:v>
      </x:c>
      <x:c r="F32" s="126" t="n">
        <x:f>($A32*'01_Assumptions'!$E$11*'01_Assumptions'!$E$12*'01_Assumptions'!$E$13*$B32*(1+'01_Assumptions'!$E$16)^(3-1)*'01_Assumptions'!$E$14*'01_Assumptions'!$E$15+'01_Assumptions'!$E$36*(1+'01_Assumptions'!$E$34)^(3-1)-ABS($C32)*'01_Assumptions'!$E$31*(1+'01_Assumptions'!$E$34)^(3-1)-'01_Assumptions'!$E$32*(1+'01_Assumptions'!$E$34)^(3-1)-$A32*'01_Assumptions'!$E$11*'01_Assumptions'!$E$12*'01_Assumptions'!$E$24*'01_Assumptions'!$E$33*(1+'01_Assumptions'!$E$34)^(3-1))-MAX(0,(($A32*'01_Assumptions'!$E$11*'01_Assumptions'!$E$12*'01_Assumptions'!$E$13*$B32*(1+'01_Assumptions'!$E$16)^(3-1)*'01_Assumptions'!$E$14*'01_Assumptions'!$E$15+'01_Assumptions'!$E$36*(1+'01_Assumptions'!$E$34)^(3-1)-ABS($C32)*'01_Assumptions'!$E$31*(1+'01_Assumptions'!$E$34)^(3-1)-'01_Assumptions'!$E$32*(1+'01_Assumptions'!$E$34)^(3-1)-$A32*'01_Assumptions'!$E$11*'01_Assumptions'!$E$12*'01_Assumptions'!$E$24*'01_Assumptions'!$E$33*(1+'01_Assumptions'!$E$34)^(3-1))-ABS($C32)/'01_Assumptions'!$E$9)*'01_Assumptions'!$E$8)</x:f>
        <x:v>698175.683532</x:v>
      </x:c>
      <x:c r="G32" s="126" t="n">
        <x:f>($A32*'01_Assumptions'!$E$11*'01_Assumptions'!$E$12*'01_Assumptions'!$E$13*$B32*(1+'01_Assumptions'!$E$16)^(4-1)*'01_Assumptions'!$E$14*'01_Assumptions'!$E$15+'01_Assumptions'!$E$36*(1+'01_Assumptions'!$E$34)^(4-1)-ABS($C32)*'01_Assumptions'!$E$31*(1+'01_Assumptions'!$E$34)^(4-1)-'01_Assumptions'!$E$32*(1+'01_Assumptions'!$E$34)^(4-1)-$A32*'01_Assumptions'!$E$11*'01_Assumptions'!$E$12*'01_Assumptions'!$E$24*'01_Assumptions'!$E$33*(1+'01_Assumptions'!$E$34)^(4-1))-MAX(0,(($A32*'01_Assumptions'!$E$11*'01_Assumptions'!$E$12*'01_Assumptions'!$E$13*$B32*(1+'01_Assumptions'!$E$16)^(4-1)*'01_Assumptions'!$E$14*'01_Assumptions'!$E$15+'01_Assumptions'!$E$36*(1+'01_Assumptions'!$E$34)^(4-1)-ABS($C32)*'01_Assumptions'!$E$31*(1+'01_Assumptions'!$E$34)^(4-1)-'01_Assumptions'!$E$32*(1+'01_Assumptions'!$E$34)^(4-1)-$A32*'01_Assumptions'!$E$11*'01_Assumptions'!$E$12*'01_Assumptions'!$E$24*'01_Assumptions'!$E$33*(1+'01_Assumptions'!$E$34)^(4-1))-ABS($C32)/'01_Assumptions'!$E$9)*'01_Assumptions'!$E$8)</x:f>
        <x:v>717965.3011341601</x:v>
      </x:c>
      <x:c r="H32" s="126" t="n">
        <x:f>($A32*'01_Assumptions'!$E$11*'01_Assumptions'!$E$12*'01_Assumptions'!$E$13*$B32*(1+'01_Assumptions'!$E$16)^(5-1)*'01_Assumptions'!$E$14*'01_Assumptions'!$E$15+'01_Assumptions'!$E$36*(1+'01_Assumptions'!$E$34)^(5-1)-ABS($C32)*'01_Assumptions'!$E$31*(1+'01_Assumptions'!$E$34)^(5-1)-'01_Assumptions'!$E$32*(1+'01_Assumptions'!$E$34)^(5-1)-$A32*'01_Assumptions'!$E$11*'01_Assumptions'!$E$12*'01_Assumptions'!$E$24*'01_Assumptions'!$E$33*(1+'01_Assumptions'!$E$34)^(5-1))-MAX(0,(($A32*'01_Assumptions'!$E$11*'01_Assumptions'!$E$12*'01_Assumptions'!$E$13*$B32*(1+'01_Assumptions'!$E$16)^(5-1)*'01_Assumptions'!$E$14*'01_Assumptions'!$E$15+'01_Assumptions'!$E$36*(1+'01_Assumptions'!$E$34)^(5-1)-ABS($C32)*'01_Assumptions'!$E$31*(1+'01_Assumptions'!$E$34)^(5-1)-'01_Assumptions'!$E$32*(1+'01_Assumptions'!$E$34)^(5-1)-$A32*'01_Assumptions'!$E$11*'01_Assumptions'!$E$12*'01_Assumptions'!$E$24*'01_Assumptions'!$E$33*(1+'01_Assumptions'!$E$34)^(5-1))-ABS($C32)/'01_Assumptions'!$E$9)*'01_Assumptions'!$E$8)+ABS($C32)*'01_Assumptions'!$E$35*(1-'01_Assumptions'!$E$8)</x:f>
        <x:v>807148.5716063089</x:v>
      </x:c>
      <x:c r="I32" s="126" t="n">
        <x:f>C32+NPV('01_Assumptions'!$E$7,D32:H32)</x:f>
        <x:v>1092357.3780519317</x:v>
      </x:c>
      <x:c r="J32" s="287"/>
    </x:row>
    <x:row r="33">
      <x:c r="A33" s="52" t="n">
        <x:v>2</x:v>
      </x:c>
      <x:c r="B33" s="126" t="n">
        <x:v>450</x:v>
      </x:c>
      <x:c r="C33" s="126" t="n">
        <x:f>-SUM('01_Assumptions'!$E$25:$E$29)*(1+'01_Assumptions'!$E$30)</x:f>
        <x:v>-1732500.0000000002</x:v>
      </x:c>
      <x:c r="D33" s="126" t="n">
        <x:f>($A33*'01_Assumptions'!$E$11*'01_Assumptions'!$E$12*'01_Assumptions'!$E$13*$B33*(1+'01_Assumptions'!$E$16)^(1-1)*'01_Assumptions'!$E$14*'01_Assumptions'!$E$15+'01_Assumptions'!$E$36*(1+'01_Assumptions'!$E$34)^(1-1)-ABS($C33)*'01_Assumptions'!$E$31*(1+'01_Assumptions'!$E$34)^(1-1)-'01_Assumptions'!$E$32*(1+'01_Assumptions'!$E$34)^(1-1)-$A33*'01_Assumptions'!$E$11*'01_Assumptions'!$E$12*'01_Assumptions'!$E$24*'01_Assumptions'!$E$33*(1+'01_Assumptions'!$E$34)^(1-1))-MAX(0,(($A33*'01_Assumptions'!$E$11*'01_Assumptions'!$E$12*'01_Assumptions'!$E$13*$B33*(1+'01_Assumptions'!$E$16)^(1-1)*'01_Assumptions'!$E$14*'01_Assumptions'!$E$15+'01_Assumptions'!$E$36*(1+'01_Assumptions'!$E$34)^(1-1)-ABS($C33)*'01_Assumptions'!$E$31*(1+'01_Assumptions'!$E$34)^(1-1)-'01_Assumptions'!$E$32*(1+'01_Assumptions'!$E$34)^(1-1)-$A33*'01_Assumptions'!$E$11*'01_Assumptions'!$E$12*'01_Assumptions'!$E$24*'01_Assumptions'!$E$33*(1+'01_Assumptions'!$E$34)^(1-1))-ABS($C33)/'01_Assumptions'!$E$9)*'01_Assumptions'!$E$8)</x:f>
        <x:v>745830.39</x:v>
      </x:c>
      <x:c r="E33" s="126" t="n">
        <x:f>($A33*'01_Assumptions'!$E$11*'01_Assumptions'!$E$12*'01_Assumptions'!$E$13*$B33*(1+'01_Assumptions'!$E$16)^(2-1)*'01_Assumptions'!$E$14*'01_Assumptions'!$E$15+'01_Assumptions'!$E$36*(1+'01_Assumptions'!$E$34)^(2-1)-ABS($C33)*'01_Assumptions'!$E$31*(1+'01_Assumptions'!$E$34)^(2-1)-'01_Assumptions'!$E$32*(1+'01_Assumptions'!$E$34)^(2-1)-$A33*'01_Assumptions'!$E$11*'01_Assumptions'!$E$12*'01_Assumptions'!$E$24*'01_Assumptions'!$E$33*(1+'01_Assumptions'!$E$34)^(2-1))-MAX(0,(($A33*'01_Assumptions'!$E$11*'01_Assumptions'!$E$12*'01_Assumptions'!$E$13*$B33*(1+'01_Assumptions'!$E$16)^(2-1)*'01_Assumptions'!$E$14*'01_Assumptions'!$E$15+'01_Assumptions'!$E$36*(1+'01_Assumptions'!$E$34)^(2-1)-ABS($C33)*'01_Assumptions'!$E$31*(1+'01_Assumptions'!$E$34)^(2-1)-'01_Assumptions'!$E$32*(1+'01_Assumptions'!$E$34)^(2-1)-$A33*'01_Assumptions'!$E$11*'01_Assumptions'!$E$12*'01_Assumptions'!$E$24*'01_Assumptions'!$E$33*(1+'01_Assumptions'!$E$34)^(2-1))-ABS($C33)/'01_Assumptions'!$E$9)*'01_Assumptions'!$E$8)</x:f>
        <x:v>767011.3722000001</x:v>
      </x:c>
      <x:c r="F33" s="126" t="n">
        <x:f>($A33*'01_Assumptions'!$E$11*'01_Assumptions'!$E$12*'01_Assumptions'!$E$13*$B33*(1+'01_Assumptions'!$E$16)^(3-1)*'01_Assumptions'!$E$14*'01_Assumptions'!$E$15+'01_Assumptions'!$E$36*(1+'01_Assumptions'!$E$34)^(3-1)-ABS($C33)*'01_Assumptions'!$E$31*(1+'01_Assumptions'!$E$34)^(3-1)-'01_Assumptions'!$E$32*(1+'01_Assumptions'!$E$34)^(3-1)-$A33*'01_Assumptions'!$E$11*'01_Assumptions'!$E$12*'01_Assumptions'!$E$24*'01_Assumptions'!$E$33*(1+'01_Assumptions'!$E$34)^(3-1))-MAX(0,(($A33*'01_Assumptions'!$E$11*'01_Assumptions'!$E$12*'01_Assumptions'!$E$13*$B33*(1+'01_Assumptions'!$E$16)^(3-1)*'01_Assumptions'!$E$14*'01_Assumptions'!$E$15+'01_Assumptions'!$E$36*(1+'01_Assumptions'!$E$34)^(3-1)-ABS($C33)*'01_Assumptions'!$E$31*(1+'01_Assumptions'!$E$34)^(3-1)-'01_Assumptions'!$E$32*(1+'01_Assumptions'!$E$34)^(3-1)-$A33*'01_Assumptions'!$E$11*'01_Assumptions'!$E$12*'01_Assumptions'!$E$24*'01_Assumptions'!$E$33*(1+'01_Assumptions'!$E$34)^(3-1))-ABS($C33)/'01_Assumptions'!$E$9)*'01_Assumptions'!$E$8)</x:f>
        <x:v>788846.7326760001</x:v>
      </x:c>
      <x:c r="G33" s="126" t="n">
        <x:f>($A33*'01_Assumptions'!$E$11*'01_Assumptions'!$E$12*'01_Assumptions'!$E$13*$B33*(1+'01_Assumptions'!$E$16)^(4-1)*'01_Assumptions'!$E$14*'01_Assumptions'!$E$15+'01_Assumptions'!$E$36*(1+'01_Assumptions'!$E$34)^(4-1)-ABS($C33)*'01_Assumptions'!$E$31*(1+'01_Assumptions'!$E$34)^(4-1)-'01_Assumptions'!$E$32*(1+'01_Assumptions'!$E$34)^(4-1)-$A33*'01_Assumptions'!$E$11*'01_Assumptions'!$E$12*'01_Assumptions'!$E$24*'01_Assumptions'!$E$33*(1+'01_Assumptions'!$E$34)^(4-1))-MAX(0,(($A33*'01_Assumptions'!$E$11*'01_Assumptions'!$E$12*'01_Assumptions'!$E$13*$B33*(1+'01_Assumptions'!$E$16)^(4-1)*'01_Assumptions'!$E$14*'01_Assumptions'!$E$15+'01_Assumptions'!$E$36*(1+'01_Assumptions'!$E$34)^(4-1)-ABS($C33)*'01_Assumptions'!$E$31*(1+'01_Assumptions'!$E$34)^(4-1)-'01_Assumptions'!$E$32*(1+'01_Assumptions'!$E$34)^(4-1)-$A33*'01_Assumptions'!$E$11*'01_Assumptions'!$E$12*'01_Assumptions'!$E$24*'01_Assumptions'!$E$33*(1+'01_Assumptions'!$E$34)^(4-1))-ABS($C33)/'01_Assumptions'!$E$9)*'01_Assumptions'!$E$8)</x:f>
        <x:v>811356.4817524801</x:v>
      </x:c>
      <x:c r="H33" s="126" t="n">
        <x:f>($A33*'01_Assumptions'!$E$11*'01_Assumptions'!$E$12*'01_Assumptions'!$E$13*$B33*(1+'01_Assumptions'!$E$16)^(5-1)*'01_Assumptions'!$E$14*'01_Assumptions'!$E$15+'01_Assumptions'!$E$36*(1+'01_Assumptions'!$E$34)^(5-1)-ABS($C33)*'01_Assumptions'!$E$31*(1+'01_Assumptions'!$E$34)^(5-1)-'01_Assumptions'!$E$32*(1+'01_Assumptions'!$E$34)^(5-1)-$A33*'01_Assumptions'!$E$11*'01_Assumptions'!$E$12*'01_Assumptions'!$E$24*'01_Assumptions'!$E$33*(1+'01_Assumptions'!$E$34)^(5-1))-MAX(0,(($A33*'01_Assumptions'!$E$11*'01_Assumptions'!$E$12*'01_Assumptions'!$E$13*$B33*(1+'01_Assumptions'!$E$16)^(5-1)*'01_Assumptions'!$E$14*'01_Assumptions'!$E$15+'01_Assumptions'!$E$36*(1+'01_Assumptions'!$E$34)^(5-1)-ABS($C33)*'01_Assumptions'!$E$31*(1+'01_Assumptions'!$E$34)^(5-1)-'01_Assumptions'!$E$32*(1+'01_Assumptions'!$E$34)^(5-1)-$A33*'01_Assumptions'!$E$11*'01_Assumptions'!$E$12*'01_Assumptions'!$E$24*'01_Assumptions'!$E$33*(1+'01_Assumptions'!$E$34)^(5-1))-ABS($C33)/'01_Assumptions'!$E$9)*'01_Assumptions'!$E$8)+ABS($C33)*'01_Assumptions'!$E$35*(1-'01_Assumptions'!$E$8)</x:f>
        <x:v>903341.4876431786</x:v>
      </x:c>
      <x:c r="I33" s="126" t="n">
        <x:f>C33+NPV('01_Assumptions'!$E$7,D33:H33)</x:f>
        <x:v>1453054.5620874662</x:v>
      </x:c>
      <x:c r="J33" s="287"/>
    </x:row>
    <x:row r="34">
      <x:c r="A34" s="52" t="n">
        <x:v>2</x:v>
      </x:c>
      <x:c r="B34" s="126" t="n">
        <x:v>500</x:v>
      </x:c>
      <x:c r="C34" s="126" t="n">
        <x:f>-SUM('01_Assumptions'!$E$25:$E$29)*(1+'01_Assumptions'!$E$30)</x:f>
        <x:v>-1732500.0000000002</x:v>
      </x:c>
      <x:c r="D34" s="126" t="n">
        <x:f>($A34*'01_Assumptions'!$E$11*'01_Assumptions'!$E$12*'01_Assumptions'!$E$13*$B34*(1+'01_Assumptions'!$E$16)^(1-1)*'01_Assumptions'!$E$14*'01_Assumptions'!$E$15+'01_Assumptions'!$E$36*(1+'01_Assumptions'!$E$34)^(1-1)-ABS($C34)*'01_Assumptions'!$E$31*(1+'01_Assumptions'!$E$34)^(1-1)-'01_Assumptions'!$E$32*(1+'01_Assumptions'!$E$34)^(1-1)-$A34*'01_Assumptions'!$E$11*'01_Assumptions'!$E$12*'01_Assumptions'!$E$24*'01_Assumptions'!$E$33*(1+'01_Assumptions'!$E$34)^(1-1))-MAX(0,(($A34*'01_Assumptions'!$E$11*'01_Assumptions'!$E$12*'01_Assumptions'!$E$13*$B34*(1+'01_Assumptions'!$E$16)^(1-1)*'01_Assumptions'!$E$14*'01_Assumptions'!$E$15+'01_Assumptions'!$E$36*(1+'01_Assumptions'!$E$34)^(1-1)-ABS($C34)*'01_Assumptions'!$E$31*(1+'01_Assumptions'!$E$34)^(1-1)-'01_Assumptions'!$E$32*(1+'01_Assumptions'!$E$34)^(1-1)-$A34*'01_Assumptions'!$E$11*'01_Assumptions'!$E$12*'01_Assumptions'!$E$24*'01_Assumptions'!$E$33*(1+'01_Assumptions'!$E$34)^(1-1))-ABS($C34)/'01_Assumptions'!$E$9)*'01_Assumptions'!$E$8)</x:f>
        <x:v>831296.55</x:v>
      </x:c>
      <x:c r="E34" s="126" t="n">
        <x:f>($A34*'01_Assumptions'!$E$11*'01_Assumptions'!$E$12*'01_Assumptions'!$E$13*$B34*(1+'01_Assumptions'!$E$16)^(2-1)*'01_Assumptions'!$E$14*'01_Assumptions'!$E$15+'01_Assumptions'!$E$36*(1+'01_Assumptions'!$E$34)^(2-1)-ABS($C34)*'01_Assumptions'!$E$31*(1+'01_Assumptions'!$E$34)^(2-1)-'01_Assumptions'!$E$32*(1+'01_Assumptions'!$E$34)^(2-1)-$A34*'01_Assumptions'!$E$11*'01_Assumptions'!$E$12*'01_Assumptions'!$E$24*'01_Assumptions'!$E$33*(1+'01_Assumptions'!$E$34)^(2-1))-MAX(0,(($A34*'01_Assumptions'!$E$11*'01_Assumptions'!$E$12*'01_Assumptions'!$E$13*$B34*(1+'01_Assumptions'!$E$16)^(2-1)*'01_Assumptions'!$E$14*'01_Assumptions'!$E$15+'01_Assumptions'!$E$36*(1+'01_Assumptions'!$E$34)^(2-1)-ABS($C34)*'01_Assumptions'!$E$31*(1+'01_Assumptions'!$E$34)^(2-1)-'01_Assumptions'!$E$32*(1+'01_Assumptions'!$E$34)^(2-1)-$A34*'01_Assumptions'!$E$11*'01_Assumptions'!$E$12*'01_Assumptions'!$E$24*'01_Assumptions'!$E$33*(1+'01_Assumptions'!$E$34)^(2-1))-ABS($C34)/'01_Assumptions'!$E$9)*'01_Assumptions'!$E$8)</x:f>
        <x:v>855041.517</x:v>
      </x:c>
      <x:c r="F34" s="126" t="n">
        <x:f>($A34*'01_Assumptions'!$E$11*'01_Assumptions'!$E$12*'01_Assumptions'!$E$13*$B34*(1+'01_Assumptions'!$E$16)^(3-1)*'01_Assumptions'!$E$14*'01_Assumptions'!$E$15+'01_Assumptions'!$E$36*(1+'01_Assumptions'!$E$34)^(3-1)-ABS($C34)*'01_Assumptions'!$E$31*(1+'01_Assumptions'!$E$34)^(3-1)-'01_Assumptions'!$E$32*(1+'01_Assumptions'!$E$34)^(3-1)-$A34*'01_Assumptions'!$E$11*'01_Assumptions'!$E$12*'01_Assumptions'!$E$24*'01_Assumptions'!$E$33*(1+'01_Assumptions'!$E$34)^(3-1))-MAX(0,(($A34*'01_Assumptions'!$E$11*'01_Assumptions'!$E$12*'01_Assumptions'!$E$13*$B34*(1+'01_Assumptions'!$E$16)^(3-1)*'01_Assumptions'!$E$14*'01_Assumptions'!$E$15+'01_Assumptions'!$E$36*(1+'01_Assumptions'!$E$34)^(3-1)-ABS($C34)*'01_Assumptions'!$E$31*(1+'01_Assumptions'!$E$34)^(3-1)-'01_Assumptions'!$E$32*(1+'01_Assumptions'!$E$34)^(3-1)-$A34*'01_Assumptions'!$E$11*'01_Assumptions'!$E$12*'01_Assumptions'!$E$24*'01_Assumptions'!$E$33*(1+'01_Assumptions'!$E$34)^(3-1))-ABS($C34)/'01_Assumptions'!$E$9)*'01_Assumptions'!$E$8)</x:f>
        <x:v>879517.7818200001</x:v>
      </x:c>
      <x:c r="G34" s="126" t="n">
        <x:f>($A34*'01_Assumptions'!$E$11*'01_Assumptions'!$E$12*'01_Assumptions'!$E$13*$B34*(1+'01_Assumptions'!$E$16)^(4-1)*'01_Assumptions'!$E$14*'01_Assumptions'!$E$15+'01_Assumptions'!$E$36*(1+'01_Assumptions'!$E$34)^(4-1)-ABS($C34)*'01_Assumptions'!$E$31*(1+'01_Assumptions'!$E$34)^(4-1)-'01_Assumptions'!$E$32*(1+'01_Assumptions'!$E$34)^(4-1)-$A34*'01_Assumptions'!$E$11*'01_Assumptions'!$E$12*'01_Assumptions'!$E$24*'01_Assumptions'!$E$33*(1+'01_Assumptions'!$E$34)^(4-1))-MAX(0,(($A34*'01_Assumptions'!$E$11*'01_Assumptions'!$E$12*'01_Assumptions'!$E$13*$B34*(1+'01_Assumptions'!$E$16)^(4-1)*'01_Assumptions'!$E$14*'01_Assumptions'!$E$15+'01_Assumptions'!$E$36*(1+'01_Assumptions'!$E$34)^(4-1)-ABS($C34)*'01_Assumptions'!$E$31*(1+'01_Assumptions'!$E$34)^(4-1)-'01_Assumptions'!$E$32*(1+'01_Assumptions'!$E$34)^(4-1)-$A34*'01_Assumptions'!$E$11*'01_Assumptions'!$E$12*'01_Assumptions'!$E$24*'01_Assumptions'!$E$33*(1+'01_Assumptions'!$E$34)^(4-1))-ABS($C34)/'01_Assumptions'!$E$9)*'01_Assumptions'!$E$8)</x:f>
        <x:v>904747.6623708002</x:v>
      </x:c>
      <x:c r="H34" s="126" t="n">
        <x:f>($A34*'01_Assumptions'!$E$11*'01_Assumptions'!$E$12*'01_Assumptions'!$E$13*$B34*(1+'01_Assumptions'!$E$16)^(5-1)*'01_Assumptions'!$E$14*'01_Assumptions'!$E$15+'01_Assumptions'!$E$36*(1+'01_Assumptions'!$E$34)^(5-1)-ABS($C34)*'01_Assumptions'!$E$31*(1+'01_Assumptions'!$E$34)^(5-1)-'01_Assumptions'!$E$32*(1+'01_Assumptions'!$E$34)^(5-1)-$A34*'01_Assumptions'!$E$11*'01_Assumptions'!$E$12*'01_Assumptions'!$E$24*'01_Assumptions'!$E$33*(1+'01_Assumptions'!$E$34)^(5-1))-MAX(0,(($A34*'01_Assumptions'!$E$11*'01_Assumptions'!$E$12*'01_Assumptions'!$E$13*$B34*(1+'01_Assumptions'!$E$16)^(5-1)*'01_Assumptions'!$E$14*'01_Assumptions'!$E$15+'01_Assumptions'!$E$36*(1+'01_Assumptions'!$E$34)^(5-1)-ABS($C34)*'01_Assumptions'!$E$31*(1+'01_Assumptions'!$E$34)^(5-1)-'01_Assumptions'!$E$32*(1+'01_Assumptions'!$E$34)^(5-1)-$A34*'01_Assumptions'!$E$11*'01_Assumptions'!$E$12*'01_Assumptions'!$E$24*'01_Assumptions'!$E$33*(1+'01_Assumptions'!$E$34)^(5-1))-ABS($C34)/'01_Assumptions'!$E$9)*'01_Assumptions'!$E$8)+ABS($C34)*'01_Assumptions'!$E$35*(1-'01_Assumptions'!$E$8)</x:f>
        <x:v>999534.4036800483</x:v>
      </x:c>
      <x:c r="I34" s="126" t="n">
        <x:f>C34+NPV('01_Assumptions'!$E$7,D34:H34)</x:f>
        <x:v>1813751.7461230017</x:v>
      </x:c>
      <x:c r="J34" s="287"/>
    </x:row>
    <x:row r="35">
      <x:c r="A35" s="52" t="n">
        <x:v>2</x:v>
      </x:c>
      <x:c r="B35" s="126" t="n">
        <x:v>550</x:v>
      </x:c>
      <x:c r="C35" s="126" t="n">
        <x:f>-SUM('01_Assumptions'!$E$25:$E$29)*(1+'01_Assumptions'!$E$30)</x:f>
        <x:v>-1732500.0000000002</x:v>
      </x:c>
      <x:c r="D35" s="126" t="n">
        <x:f>($A35*'01_Assumptions'!$E$11*'01_Assumptions'!$E$12*'01_Assumptions'!$E$13*$B35*(1+'01_Assumptions'!$E$16)^(1-1)*'01_Assumptions'!$E$14*'01_Assumptions'!$E$15+'01_Assumptions'!$E$36*(1+'01_Assumptions'!$E$34)^(1-1)-ABS($C35)*'01_Assumptions'!$E$31*(1+'01_Assumptions'!$E$34)^(1-1)-'01_Assumptions'!$E$32*(1+'01_Assumptions'!$E$34)^(1-1)-$A35*'01_Assumptions'!$E$11*'01_Assumptions'!$E$12*'01_Assumptions'!$E$24*'01_Assumptions'!$E$33*(1+'01_Assumptions'!$E$34)^(1-1))-MAX(0,(($A35*'01_Assumptions'!$E$11*'01_Assumptions'!$E$12*'01_Assumptions'!$E$13*$B35*(1+'01_Assumptions'!$E$16)^(1-1)*'01_Assumptions'!$E$14*'01_Assumptions'!$E$15+'01_Assumptions'!$E$36*(1+'01_Assumptions'!$E$34)^(1-1)-ABS($C35)*'01_Assumptions'!$E$31*(1+'01_Assumptions'!$E$34)^(1-1)-'01_Assumptions'!$E$32*(1+'01_Assumptions'!$E$34)^(1-1)-$A35*'01_Assumptions'!$E$11*'01_Assumptions'!$E$12*'01_Assumptions'!$E$24*'01_Assumptions'!$E$33*(1+'01_Assumptions'!$E$34)^(1-1))-ABS($C35)/'01_Assumptions'!$E$9)*'01_Assumptions'!$E$8)</x:f>
        <x:v>916762.71</x:v>
      </x:c>
      <x:c r="E35" s="126" t="n">
        <x:f>($A35*'01_Assumptions'!$E$11*'01_Assumptions'!$E$12*'01_Assumptions'!$E$13*$B35*(1+'01_Assumptions'!$E$16)^(2-1)*'01_Assumptions'!$E$14*'01_Assumptions'!$E$15+'01_Assumptions'!$E$36*(1+'01_Assumptions'!$E$34)^(2-1)-ABS($C35)*'01_Assumptions'!$E$31*(1+'01_Assumptions'!$E$34)^(2-1)-'01_Assumptions'!$E$32*(1+'01_Assumptions'!$E$34)^(2-1)-$A35*'01_Assumptions'!$E$11*'01_Assumptions'!$E$12*'01_Assumptions'!$E$24*'01_Assumptions'!$E$33*(1+'01_Assumptions'!$E$34)^(2-1))-MAX(0,(($A35*'01_Assumptions'!$E$11*'01_Assumptions'!$E$12*'01_Assumptions'!$E$13*$B35*(1+'01_Assumptions'!$E$16)^(2-1)*'01_Assumptions'!$E$14*'01_Assumptions'!$E$15+'01_Assumptions'!$E$36*(1+'01_Assumptions'!$E$34)^(2-1)-ABS($C35)*'01_Assumptions'!$E$31*(1+'01_Assumptions'!$E$34)^(2-1)-'01_Assumptions'!$E$32*(1+'01_Assumptions'!$E$34)^(2-1)-$A35*'01_Assumptions'!$E$11*'01_Assumptions'!$E$12*'01_Assumptions'!$E$24*'01_Assumptions'!$E$33*(1+'01_Assumptions'!$E$34)^(2-1))-ABS($C35)/'01_Assumptions'!$E$9)*'01_Assumptions'!$E$8)</x:f>
        <x:v>943071.6618</x:v>
      </x:c>
      <x:c r="F35" s="126" t="n">
        <x:f>($A35*'01_Assumptions'!$E$11*'01_Assumptions'!$E$12*'01_Assumptions'!$E$13*$B35*(1+'01_Assumptions'!$E$16)^(3-1)*'01_Assumptions'!$E$14*'01_Assumptions'!$E$15+'01_Assumptions'!$E$36*(1+'01_Assumptions'!$E$34)^(3-1)-ABS($C35)*'01_Assumptions'!$E$31*(1+'01_Assumptions'!$E$34)^(3-1)-'01_Assumptions'!$E$32*(1+'01_Assumptions'!$E$34)^(3-1)-$A35*'01_Assumptions'!$E$11*'01_Assumptions'!$E$12*'01_Assumptions'!$E$24*'01_Assumptions'!$E$33*(1+'01_Assumptions'!$E$34)^(3-1))-MAX(0,(($A35*'01_Assumptions'!$E$11*'01_Assumptions'!$E$12*'01_Assumptions'!$E$13*$B35*(1+'01_Assumptions'!$E$16)^(3-1)*'01_Assumptions'!$E$14*'01_Assumptions'!$E$15+'01_Assumptions'!$E$36*(1+'01_Assumptions'!$E$34)^(3-1)-ABS($C35)*'01_Assumptions'!$E$31*(1+'01_Assumptions'!$E$34)^(3-1)-'01_Assumptions'!$E$32*(1+'01_Assumptions'!$E$34)^(3-1)-$A35*'01_Assumptions'!$E$11*'01_Assumptions'!$E$12*'01_Assumptions'!$E$24*'01_Assumptions'!$E$33*(1+'01_Assumptions'!$E$34)^(3-1))-ABS($C35)/'01_Assumptions'!$E$9)*'01_Assumptions'!$E$8)</x:f>
        <x:v>970188.8309640001</x:v>
      </x:c>
      <x:c r="G35" s="126" t="n">
        <x:f>($A35*'01_Assumptions'!$E$11*'01_Assumptions'!$E$12*'01_Assumptions'!$E$13*$B35*(1+'01_Assumptions'!$E$16)^(4-1)*'01_Assumptions'!$E$14*'01_Assumptions'!$E$15+'01_Assumptions'!$E$36*(1+'01_Assumptions'!$E$34)^(4-1)-ABS($C35)*'01_Assumptions'!$E$31*(1+'01_Assumptions'!$E$34)^(4-1)-'01_Assumptions'!$E$32*(1+'01_Assumptions'!$E$34)^(4-1)-$A35*'01_Assumptions'!$E$11*'01_Assumptions'!$E$12*'01_Assumptions'!$E$24*'01_Assumptions'!$E$33*(1+'01_Assumptions'!$E$34)^(4-1))-MAX(0,(($A35*'01_Assumptions'!$E$11*'01_Assumptions'!$E$12*'01_Assumptions'!$E$13*$B35*(1+'01_Assumptions'!$E$16)^(4-1)*'01_Assumptions'!$E$14*'01_Assumptions'!$E$15+'01_Assumptions'!$E$36*(1+'01_Assumptions'!$E$34)^(4-1)-ABS($C35)*'01_Assumptions'!$E$31*(1+'01_Assumptions'!$E$34)^(4-1)-'01_Assumptions'!$E$32*(1+'01_Assumptions'!$E$34)^(4-1)-$A35*'01_Assumptions'!$E$11*'01_Assumptions'!$E$12*'01_Assumptions'!$E$24*'01_Assumptions'!$E$33*(1+'01_Assumptions'!$E$34)^(4-1))-ABS($C35)/'01_Assumptions'!$E$9)*'01_Assumptions'!$E$8)</x:f>
        <x:v>998138.84298912</x:v>
      </x:c>
      <x:c r="H35" s="126" t="n">
        <x:f>($A35*'01_Assumptions'!$E$11*'01_Assumptions'!$E$12*'01_Assumptions'!$E$13*$B35*(1+'01_Assumptions'!$E$16)^(5-1)*'01_Assumptions'!$E$14*'01_Assumptions'!$E$15+'01_Assumptions'!$E$36*(1+'01_Assumptions'!$E$34)^(5-1)-ABS($C35)*'01_Assumptions'!$E$31*(1+'01_Assumptions'!$E$34)^(5-1)-'01_Assumptions'!$E$32*(1+'01_Assumptions'!$E$34)^(5-1)-$A35*'01_Assumptions'!$E$11*'01_Assumptions'!$E$12*'01_Assumptions'!$E$24*'01_Assumptions'!$E$33*(1+'01_Assumptions'!$E$34)^(5-1))-MAX(0,(($A35*'01_Assumptions'!$E$11*'01_Assumptions'!$E$12*'01_Assumptions'!$E$13*$B35*(1+'01_Assumptions'!$E$16)^(5-1)*'01_Assumptions'!$E$14*'01_Assumptions'!$E$15+'01_Assumptions'!$E$36*(1+'01_Assumptions'!$E$34)^(5-1)-ABS($C35)*'01_Assumptions'!$E$31*(1+'01_Assumptions'!$E$34)^(5-1)-'01_Assumptions'!$E$32*(1+'01_Assumptions'!$E$34)^(5-1)-$A35*'01_Assumptions'!$E$11*'01_Assumptions'!$E$12*'01_Assumptions'!$E$24*'01_Assumptions'!$E$33*(1+'01_Assumptions'!$E$34)^(5-1))-ABS($C35)/'01_Assumptions'!$E$9)*'01_Assumptions'!$E$8)+ABS($C35)*'01_Assumptions'!$E$35*(1-'01_Assumptions'!$E$8)</x:f>
        <x:v>1095727.3197169178</x:v>
      </x:c>
      <x:c r="I35" s="126" t="n">
        <x:f>C35+NPV('01_Assumptions'!$E$7,D35:H35)</x:f>
        <x:v>2174448.930158536</x:v>
      </x:c>
      <x:c r="J35" s="287"/>
    </x:row>
    <x:row r="36">
      <x:c r="A36" s="52" t="n">
        <x:v>2.5</x:v>
      </x:c>
      <x:c r="B36" s="126" t="n">
        <x:v>350</x:v>
      </x:c>
      <x:c r="C36" s="126" t="n">
        <x:f>-SUM('01_Assumptions'!$E$25:$E$29)*(1+'01_Assumptions'!$E$30)</x:f>
        <x:v>-1732500.0000000002</x:v>
      </x:c>
      <x:c r="D36" s="126" t="n">
        <x:f>($A36*'01_Assumptions'!$E$11*'01_Assumptions'!$E$12*'01_Assumptions'!$E$13*$B36*(1+'01_Assumptions'!$E$16)^(1-1)*'01_Assumptions'!$E$14*'01_Assumptions'!$E$15+'01_Assumptions'!$E$36*(1+'01_Assumptions'!$E$34)^(1-1)-ABS($C36)*'01_Assumptions'!$E$31*(1+'01_Assumptions'!$E$34)^(1-1)-'01_Assumptions'!$E$32*(1+'01_Assumptions'!$E$34)^(1-1)-$A36*'01_Assumptions'!$E$11*'01_Assumptions'!$E$12*'01_Assumptions'!$E$24*'01_Assumptions'!$E$33*(1+'01_Assumptions'!$E$34)^(1-1))-MAX(0,(($A36*'01_Assumptions'!$E$11*'01_Assumptions'!$E$12*'01_Assumptions'!$E$13*$B36*(1+'01_Assumptions'!$E$16)^(1-1)*'01_Assumptions'!$E$14*'01_Assumptions'!$E$15+'01_Assumptions'!$E$36*(1+'01_Assumptions'!$E$34)^(1-1)-ABS($C36)*'01_Assumptions'!$E$31*(1+'01_Assumptions'!$E$34)^(1-1)-'01_Assumptions'!$E$32*(1+'01_Assumptions'!$E$34)^(1-1)-$A36*'01_Assumptions'!$E$11*'01_Assumptions'!$E$12*'01_Assumptions'!$E$24*'01_Assumptions'!$E$33*(1+'01_Assumptions'!$E$34)^(1-1))-ABS($C36)/'01_Assumptions'!$E$9)*'01_Assumptions'!$E$8)</x:f>
        <x:v>723927.9</x:v>
      </x:c>
      <x:c r="E36" s="126" t="n">
        <x:f>($A36*'01_Assumptions'!$E$11*'01_Assumptions'!$E$12*'01_Assumptions'!$E$13*$B36*(1+'01_Assumptions'!$E$16)^(2-1)*'01_Assumptions'!$E$14*'01_Assumptions'!$E$15+'01_Assumptions'!$E$36*(1+'01_Assumptions'!$E$34)^(2-1)-ABS($C36)*'01_Assumptions'!$E$31*(1+'01_Assumptions'!$E$34)^(2-1)-'01_Assumptions'!$E$32*(1+'01_Assumptions'!$E$34)^(2-1)-$A36*'01_Assumptions'!$E$11*'01_Assumptions'!$E$12*'01_Assumptions'!$E$24*'01_Assumptions'!$E$33*(1+'01_Assumptions'!$E$34)^(2-1))-MAX(0,(($A36*'01_Assumptions'!$E$11*'01_Assumptions'!$E$12*'01_Assumptions'!$E$13*$B36*(1+'01_Assumptions'!$E$16)^(2-1)*'01_Assumptions'!$E$14*'01_Assumptions'!$E$15+'01_Assumptions'!$E$36*(1+'01_Assumptions'!$E$34)^(2-1)-ABS($C36)*'01_Assumptions'!$E$31*(1+'01_Assumptions'!$E$34)^(2-1)-'01_Assumptions'!$E$32*(1+'01_Assumptions'!$E$34)^(2-1)-$A36*'01_Assumptions'!$E$11*'01_Assumptions'!$E$12*'01_Assumptions'!$E$24*'01_Assumptions'!$E$33*(1+'01_Assumptions'!$E$34)^(2-1))-ABS($C36)/'01_Assumptions'!$E$9)*'01_Assumptions'!$E$8)</x:f>
        <x:v>744457.167</x:v>
      </x:c>
      <x:c r="F36" s="126" t="n">
        <x:f>($A36*'01_Assumptions'!$E$11*'01_Assumptions'!$E$12*'01_Assumptions'!$E$13*$B36*(1+'01_Assumptions'!$E$16)^(3-1)*'01_Assumptions'!$E$14*'01_Assumptions'!$E$15+'01_Assumptions'!$E$36*(1+'01_Assumptions'!$E$34)^(3-1)-ABS($C36)*'01_Assumptions'!$E$31*(1+'01_Assumptions'!$E$34)^(3-1)-'01_Assumptions'!$E$32*(1+'01_Assumptions'!$E$34)^(3-1)-$A36*'01_Assumptions'!$E$11*'01_Assumptions'!$E$12*'01_Assumptions'!$E$24*'01_Assumptions'!$E$33*(1+'01_Assumptions'!$E$34)^(3-1))-MAX(0,(($A36*'01_Assumptions'!$E$11*'01_Assumptions'!$E$12*'01_Assumptions'!$E$13*$B36*(1+'01_Assumptions'!$E$16)^(3-1)*'01_Assumptions'!$E$14*'01_Assumptions'!$E$15+'01_Assumptions'!$E$36*(1+'01_Assumptions'!$E$34)^(3-1)-ABS($C36)*'01_Assumptions'!$E$31*(1+'01_Assumptions'!$E$34)^(3-1)-'01_Assumptions'!$E$32*(1+'01_Assumptions'!$E$34)^(3-1)-$A36*'01_Assumptions'!$E$11*'01_Assumptions'!$E$12*'01_Assumptions'!$E$24*'01_Assumptions'!$E$33*(1+'01_Assumptions'!$E$34)^(3-1))-ABS($C36)/'01_Assumptions'!$E$9)*'01_Assumptions'!$E$8)</x:f>
        <x:v>765621.3680100001</x:v>
      </x:c>
      <x:c r="G36" s="126" t="n">
        <x:f>($A36*'01_Assumptions'!$E$11*'01_Assumptions'!$E$12*'01_Assumptions'!$E$13*$B36*(1+'01_Assumptions'!$E$16)^(4-1)*'01_Assumptions'!$E$14*'01_Assumptions'!$E$15+'01_Assumptions'!$E$36*(1+'01_Assumptions'!$E$34)^(4-1)-ABS($C36)*'01_Assumptions'!$E$31*(1+'01_Assumptions'!$E$34)^(4-1)-'01_Assumptions'!$E$32*(1+'01_Assumptions'!$E$34)^(4-1)-$A36*'01_Assumptions'!$E$11*'01_Assumptions'!$E$12*'01_Assumptions'!$E$24*'01_Assumptions'!$E$33*(1+'01_Assumptions'!$E$34)^(4-1))-MAX(0,(($A36*'01_Assumptions'!$E$11*'01_Assumptions'!$E$12*'01_Assumptions'!$E$13*$B36*(1+'01_Assumptions'!$E$16)^(4-1)*'01_Assumptions'!$E$14*'01_Assumptions'!$E$15+'01_Assumptions'!$E$36*(1+'01_Assumptions'!$E$34)^(4-1)-ABS($C36)*'01_Assumptions'!$E$31*(1+'01_Assumptions'!$E$34)^(4-1)-'01_Assumptions'!$E$32*(1+'01_Assumptions'!$E$34)^(4-1)-$A36*'01_Assumptions'!$E$11*'01_Assumptions'!$E$12*'01_Assumptions'!$E$24*'01_Assumptions'!$E$33*(1+'01_Assumptions'!$E$34)^(4-1))-ABS($C36)/'01_Assumptions'!$E$9)*'01_Assumptions'!$E$8)</x:f>
        <x:v>787439.9321702999</x:v>
      </x:c>
      <x:c r="H36" s="126" t="n">
        <x:f>($A36*'01_Assumptions'!$E$11*'01_Assumptions'!$E$12*'01_Assumptions'!$E$13*$B36*(1+'01_Assumptions'!$E$16)^(5-1)*'01_Assumptions'!$E$14*'01_Assumptions'!$E$15+'01_Assumptions'!$E$36*(1+'01_Assumptions'!$E$34)^(5-1)-ABS($C36)*'01_Assumptions'!$E$31*(1+'01_Assumptions'!$E$34)^(5-1)-'01_Assumptions'!$E$32*(1+'01_Assumptions'!$E$34)^(5-1)-$A36*'01_Assumptions'!$E$11*'01_Assumptions'!$E$12*'01_Assumptions'!$E$24*'01_Assumptions'!$E$33*(1+'01_Assumptions'!$E$34)^(5-1))-MAX(0,(($A36*'01_Assumptions'!$E$11*'01_Assumptions'!$E$12*'01_Assumptions'!$E$13*$B36*(1+'01_Assumptions'!$E$16)^(5-1)*'01_Assumptions'!$E$14*'01_Assumptions'!$E$15+'01_Assumptions'!$E$36*(1+'01_Assumptions'!$E$34)^(5-1)-ABS($C36)*'01_Assumptions'!$E$31*(1+'01_Assumptions'!$E$34)^(5-1)-'01_Assumptions'!$E$32*(1+'01_Assumptions'!$E$34)^(5-1)-$A36*'01_Assumptions'!$E$11*'01_Assumptions'!$E$12*'01_Assumptions'!$E$24*'01_Assumptions'!$E$33*(1+'01_Assumptions'!$E$34)^(5-1))-ABS($C36)/'01_Assumptions'!$E$9)*'01_Assumptions'!$E$8)+ABS($C36)*'01_Assumptions'!$E$35*(1-'01_Assumptions'!$E$8)</x:f>
        <x:v>878713.1291178092</x:v>
      </x:c>
      <x:c r="I36" s="126" t="n">
        <x:f>C36+NPV('01_Assumptions'!$E$7,D36:H36)</x:f>
        <x:v>1360659.8148921214</x:v>
      </x:c>
      <x:c r="J36" s="287"/>
    </x:row>
    <x:row r="37">
      <x:c r="A37" s="52" t="n">
        <x:v>2.5</x:v>
      </x:c>
      <x:c r="B37" s="126" t="n">
        <x:v>400</x:v>
      </x:c>
      <x:c r="C37" s="126" t="n">
        <x:f>-SUM('01_Assumptions'!$E$25:$E$29)*(1+'01_Assumptions'!$E$30)</x:f>
        <x:v>-1732500.0000000002</x:v>
      </x:c>
      <x:c r="D37" s="126" t="n">
        <x:f>($A37*'01_Assumptions'!$E$11*'01_Assumptions'!$E$12*'01_Assumptions'!$E$13*$B37*(1+'01_Assumptions'!$E$16)^(1-1)*'01_Assumptions'!$E$14*'01_Assumptions'!$E$15+'01_Assumptions'!$E$36*(1+'01_Assumptions'!$E$34)^(1-1)-ABS($C37)*'01_Assumptions'!$E$31*(1+'01_Assumptions'!$E$34)^(1-1)-'01_Assumptions'!$E$32*(1+'01_Assumptions'!$E$34)^(1-1)-$A37*'01_Assumptions'!$E$11*'01_Assumptions'!$E$12*'01_Assumptions'!$E$24*'01_Assumptions'!$E$33*(1+'01_Assumptions'!$E$34)^(1-1))-MAX(0,(($A37*'01_Assumptions'!$E$11*'01_Assumptions'!$E$12*'01_Assumptions'!$E$13*$B37*(1+'01_Assumptions'!$E$16)^(1-1)*'01_Assumptions'!$E$14*'01_Assumptions'!$E$15+'01_Assumptions'!$E$36*(1+'01_Assumptions'!$E$34)^(1-1)-ABS($C37)*'01_Assumptions'!$E$31*(1+'01_Assumptions'!$E$34)^(1-1)-'01_Assumptions'!$E$32*(1+'01_Assumptions'!$E$34)^(1-1)-$A37*'01_Assumptions'!$E$11*'01_Assumptions'!$E$12*'01_Assumptions'!$E$24*'01_Assumptions'!$E$33*(1+'01_Assumptions'!$E$34)^(1-1))-ABS($C37)/'01_Assumptions'!$E$9)*'01_Assumptions'!$E$8)</x:f>
        <x:v>830760.6</x:v>
      </x:c>
      <x:c r="E37" s="126" t="n">
        <x:f>($A37*'01_Assumptions'!$E$11*'01_Assumptions'!$E$12*'01_Assumptions'!$E$13*$B37*(1+'01_Assumptions'!$E$16)^(2-1)*'01_Assumptions'!$E$14*'01_Assumptions'!$E$15+'01_Assumptions'!$E$36*(1+'01_Assumptions'!$E$34)^(2-1)-ABS($C37)*'01_Assumptions'!$E$31*(1+'01_Assumptions'!$E$34)^(2-1)-'01_Assumptions'!$E$32*(1+'01_Assumptions'!$E$34)^(2-1)-$A37*'01_Assumptions'!$E$11*'01_Assumptions'!$E$12*'01_Assumptions'!$E$24*'01_Assumptions'!$E$33*(1+'01_Assumptions'!$E$34)^(2-1))-MAX(0,(($A37*'01_Assumptions'!$E$11*'01_Assumptions'!$E$12*'01_Assumptions'!$E$13*$B37*(1+'01_Assumptions'!$E$16)^(2-1)*'01_Assumptions'!$E$14*'01_Assumptions'!$E$15+'01_Assumptions'!$E$36*(1+'01_Assumptions'!$E$34)^(2-1)-ABS($C37)*'01_Assumptions'!$E$31*(1+'01_Assumptions'!$E$34)^(2-1)-'01_Assumptions'!$E$32*(1+'01_Assumptions'!$E$34)^(2-1)-$A37*'01_Assumptions'!$E$11*'01_Assumptions'!$E$12*'01_Assumptions'!$E$24*'01_Assumptions'!$E$33*(1+'01_Assumptions'!$E$34)^(2-1))-ABS($C37)/'01_Assumptions'!$E$9)*'01_Assumptions'!$E$8)</x:f>
        <x:v>854494.848</x:v>
      </x:c>
      <x:c r="F37" s="126" t="n">
        <x:f>($A37*'01_Assumptions'!$E$11*'01_Assumptions'!$E$12*'01_Assumptions'!$E$13*$B37*(1+'01_Assumptions'!$E$16)^(3-1)*'01_Assumptions'!$E$14*'01_Assumptions'!$E$15+'01_Assumptions'!$E$36*(1+'01_Assumptions'!$E$34)^(3-1)-ABS($C37)*'01_Assumptions'!$E$31*(1+'01_Assumptions'!$E$34)^(3-1)-'01_Assumptions'!$E$32*(1+'01_Assumptions'!$E$34)^(3-1)-$A37*'01_Assumptions'!$E$11*'01_Assumptions'!$E$12*'01_Assumptions'!$E$24*'01_Assumptions'!$E$33*(1+'01_Assumptions'!$E$34)^(3-1))-MAX(0,(($A37*'01_Assumptions'!$E$11*'01_Assumptions'!$E$12*'01_Assumptions'!$E$13*$B37*(1+'01_Assumptions'!$E$16)^(3-1)*'01_Assumptions'!$E$14*'01_Assumptions'!$E$15+'01_Assumptions'!$E$36*(1+'01_Assumptions'!$E$34)^(3-1)-ABS($C37)*'01_Assumptions'!$E$31*(1+'01_Assumptions'!$E$34)^(3-1)-'01_Assumptions'!$E$32*(1+'01_Assumptions'!$E$34)^(3-1)-$A37*'01_Assumptions'!$E$11*'01_Assumptions'!$E$12*'01_Assumptions'!$E$24*'01_Assumptions'!$E$33*(1+'01_Assumptions'!$E$34)^(3-1))-ABS($C37)/'01_Assumptions'!$E$9)*'01_Assumptions'!$E$8)</x:f>
        <x:v>878960.1794400001</x:v>
      </x:c>
      <x:c r="G37" s="126" t="n">
        <x:f>($A37*'01_Assumptions'!$E$11*'01_Assumptions'!$E$12*'01_Assumptions'!$E$13*$B37*(1+'01_Assumptions'!$E$16)^(4-1)*'01_Assumptions'!$E$14*'01_Assumptions'!$E$15+'01_Assumptions'!$E$36*(1+'01_Assumptions'!$E$34)^(4-1)-ABS($C37)*'01_Assumptions'!$E$31*(1+'01_Assumptions'!$E$34)^(4-1)-'01_Assumptions'!$E$32*(1+'01_Assumptions'!$E$34)^(4-1)-$A37*'01_Assumptions'!$E$11*'01_Assumptions'!$E$12*'01_Assumptions'!$E$24*'01_Assumptions'!$E$33*(1+'01_Assumptions'!$E$34)^(4-1))-MAX(0,(($A37*'01_Assumptions'!$E$11*'01_Assumptions'!$E$12*'01_Assumptions'!$E$13*$B37*(1+'01_Assumptions'!$E$16)^(4-1)*'01_Assumptions'!$E$14*'01_Assumptions'!$E$15+'01_Assumptions'!$E$36*(1+'01_Assumptions'!$E$34)^(4-1)-ABS($C37)*'01_Assumptions'!$E$31*(1+'01_Assumptions'!$E$34)^(4-1)-'01_Assumptions'!$E$32*(1+'01_Assumptions'!$E$34)^(4-1)-$A37*'01_Assumptions'!$E$11*'01_Assumptions'!$E$12*'01_Assumptions'!$E$24*'01_Assumptions'!$E$33*(1+'01_Assumptions'!$E$34)^(4-1))-ABS($C37)/'01_Assumptions'!$E$9)*'01_Assumptions'!$E$8)</x:f>
        <x:v>904178.9079432002</x:v>
      </x:c>
      <x:c r="H37" s="126" t="n">
        <x:f>($A37*'01_Assumptions'!$E$11*'01_Assumptions'!$E$12*'01_Assumptions'!$E$13*$B37*(1+'01_Assumptions'!$E$16)^(5-1)*'01_Assumptions'!$E$14*'01_Assumptions'!$E$15+'01_Assumptions'!$E$36*(1+'01_Assumptions'!$E$34)^(5-1)-ABS($C37)*'01_Assumptions'!$E$31*(1+'01_Assumptions'!$E$34)^(5-1)-'01_Assumptions'!$E$32*(1+'01_Assumptions'!$E$34)^(5-1)-$A37*'01_Assumptions'!$E$11*'01_Assumptions'!$E$12*'01_Assumptions'!$E$24*'01_Assumptions'!$E$33*(1+'01_Assumptions'!$E$34)^(5-1))-MAX(0,(($A37*'01_Assumptions'!$E$11*'01_Assumptions'!$E$12*'01_Assumptions'!$E$13*$B37*(1+'01_Assumptions'!$E$16)^(5-1)*'01_Assumptions'!$E$14*'01_Assumptions'!$E$15+'01_Assumptions'!$E$36*(1+'01_Assumptions'!$E$34)^(5-1)-ABS($C37)*'01_Assumptions'!$E$31*(1+'01_Assumptions'!$E$34)^(5-1)-'01_Assumptions'!$E$32*(1+'01_Assumptions'!$E$34)^(5-1)-$A37*'01_Assumptions'!$E$11*'01_Assumptions'!$E$12*'01_Assumptions'!$E$24*'01_Assumptions'!$E$33*(1+'01_Assumptions'!$E$34)^(5-1))-ABS($C37)/'01_Assumptions'!$E$9)*'01_Assumptions'!$E$8)+ABS($C37)*'01_Assumptions'!$E$35*(1-'01_Assumptions'!$E$8)</x:f>
        <x:v>998954.2741638962</x:v>
      </x:c>
      <x:c r="I37" s="126" t="n">
        <x:f>C37+NPV('01_Assumptions'!$E$7,D37:H37)</x:f>
        <x:v>1811531.2949365398</x:v>
      </x:c>
      <x:c r="J37" s="287"/>
    </x:row>
    <x:row r="38">
      <x:c r="A38" s="52" t="n">
        <x:v>2.5</x:v>
      </x:c>
      <x:c r="B38" s="126" t="n">
        <x:v>450</x:v>
      </x:c>
      <x:c r="C38" s="126" t="n">
        <x:f>-SUM('01_Assumptions'!$E$25:$E$29)*(1+'01_Assumptions'!$E$30)</x:f>
        <x:v>-1732500.0000000002</x:v>
      </x:c>
      <x:c r="D38" s="126" t="n">
        <x:f>($A38*'01_Assumptions'!$E$11*'01_Assumptions'!$E$12*'01_Assumptions'!$E$13*$B38*(1+'01_Assumptions'!$E$16)^(1-1)*'01_Assumptions'!$E$14*'01_Assumptions'!$E$15+'01_Assumptions'!$E$36*(1+'01_Assumptions'!$E$34)^(1-1)-ABS($C38)*'01_Assumptions'!$E$31*(1+'01_Assumptions'!$E$34)^(1-1)-'01_Assumptions'!$E$32*(1+'01_Assumptions'!$E$34)^(1-1)-$A38*'01_Assumptions'!$E$11*'01_Assumptions'!$E$12*'01_Assumptions'!$E$24*'01_Assumptions'!$E$33*(1+'01_Assumptions'!$E$34)^(1-1))-MAX(0,(($A38*'01_Assumptions'!$E$11*'01_Assumptions'!$E$12*'01_Assumptions'!$E$13*$B38*(1+'01_Assumptions'!$E$16)^(1-1)*'01_Assumptions'!$E$14*'01_Assumptions'!$E$15+'01_Assumptions'!$E$36*(1+'01_Assumptions'!$E$34)^(1-1)-ABS($C38)*'01_Assumptions'!$E$31*(1+'01_Assumptions'!$E$34)^(1-1)-'01_Assumptions'!$E$32*(1+'01_Assumptions'!$E$34)^(1-1)-$A38*'01_Assumptions'!$E$11*'01_Assumptions'!$E$12*'01_Assumptions'!$E$24*'01_Assumptions'!$E$33*(1+'01_Assumptions'!$E$34)^(1-1))-ABS($C38)/'01_Assumptions'!$E$9)*'01_Assumptions'!$E$8)</x:f>
        <x:v>937593.3</x:v>
      </x:c>
      <x:c r="E38" s="126" t="n">
        <x:f>($A38*'01_Assumptions'!$E$11*'01_Assumptions'!$E$12*'01_Assumptions'!$E$13*$B38*(1+'01_Assumptions'!$E$16)^(2-1)*'01_Assumptions'!$E$14*'01_Assumptions'!$E$15+'01_Assumptions'!$E$36*(1+'01_Assumptions'!$E$34)^(2-1)-ABS($C38)*'01_Assumptions'!$E$31*(1+'01_Assumptions'!$E$34)^(2-1)-'01_Assumptions'!$E$32*(1+'01_Assumptions'!$E$34)^(2-1)-$A38*'01_Assumptions'!$E$11*'01_Assumptions'!$E$12*'01_Assumptions'!$E$24*'01_Assumptions'!$E$33*(1+'01_Assumptions'!$E$34)^(2-1))-MAX(0,(($A38*'01_Assumptions'!$E$11*'01_Assumptions'!$E$12*'01_Assumptions'!$E$13*$B38*(1+'01_Assumptions'!$E$16)^(2-1)*'01_Assumptions'!$E$14*'01_Assumptions'!$E$15+'01_Assumptions'!$E$36*(1+'01_Assumptions'!$E$34)^(2-1)-ABS($C38)*'01_Assumptions'!$E$31*(1+'01_Assumptions'!$E$34)^(2-1)-'01_Assumptions'!$E$32*(1+'01_Assumptions'!$E$34)^(2-1)-$A38*'01_Assumptions'!$E$11*'01_Assumptions'!$E$12*'01_Assumptions'!$E$24*'01_Assumptions'!$E$33*(1+'01_Assumptions'!$E$34)^(2-1))-ABS($C38)/'01_Assumptions'!$E$9)*'01_Assumptions'!$E$8)</x:f>
        <x:v>964532.529</x:v>
      </x:c>
      <x:c r="F38" s="126" t="n">
        <x:f>($A38*'01_Assumptions'!$E$11*'01_Assumptions'!$E$12*'01_Assumptions'!$E$13*$B38*(1+'01_Assumptions'!$E$16)^(3-1)*'01_Assumptions'!$E$14*'01_Assumptions'!$E$15+'01_Assumptions'!$E$36*(1+'01_Assumptions'!$E$34)^(3-1)-ABS($C38)*'01_Assumptions'!$E$31*(1+'01_Assumptions'!$E$34)^(3-1)-'01_Assumptions'!$E$32*(1+'01_Assumptions'!$E$34)^(3-1)-$A38*'01_Assumptions'!$E$11*'01_Assumptions'!$E$12*'01_Assumptions'!$E$24*'01_Assumptions'!$E$33*(1+'01_Assumptions'!$E$34)^(3-1))-MAX(0,(($A38*'01_Assumptions'!$E$11*'01_Assumptions'!$E$12*'01_Assumptions'!$E$13*$B38*(1+'01_Assumptions'!$E$16)^(3-1)*'01_Assumptions'!$E$14*'01_Assumptions'!$E$15+'01_Assumptions'!$E$36*(1+'01_Assumptions'!$E$34)^(3-1)-ABS($C38)*'01_Assumptions'!$E$31*(1+'01_Assumptions'!$E$34)^(3-1)-'01_Assumptions'!$E$32*(1+'01_Assumptions'!$E$34)^(3-1)-$A38*'01_Assumptions'!$E$11*'01_Assumptions'!$E$12*'01_Assumptions'!$E$24*'01_Assumptions'!$E$33*(1+'01_Assumptions'!$E$34)^(3-1))-ABS($C38)/'01_Assumptions'!$E$9)*'01_Assumptions'!$E$8)</x:f>
        <x:v>992298.99087</x:v>
      </x:c>
      <x:c r="G38" s="126" t="n">
        <x:f>($A38*'01_Assumptions'!$E$11*'01_Assumptions'!$E$12*'01_Assumptions'!$E$13*$B38*(1+'01_Assumptions'!$E$16)^(4-1)*'01_Assumptions'!$E$14*'01_Assumptions'!$E$15+'01_Assumptions'!$E$36*(1+'01_Assumptions'!$E$34)^(4-1)-ABS($C38)*'01_Assumptions'!$E$31*(1+'01_Assumptions'!$E$34)^(4-1)-'01_Assumptions'!$E$32*(1+'01_Assumptions'!$E$34)^(4-1)-$A38*'01_Assumptions'!$E$11*'01_Assumptions'!$E$12*'01_Assumptions'!$E$24*'01_Assumptions'!$E$33*(1+'01_Assumptions'!$E$34)^(4-1))-MAX(0,(($A38*'01_Assumptions'!$E$11*'01_Assumptions'!$E$12*'01_Assumptions'!$E$13*$B38*(1+'01_Assumptions'!$E$16)^(4-1)*'01_Assumptions'!$E$14*'01_Assumptions'!$E$15+'01_Assumptions'!$E$36*(1+'01_Assumptions'!$E$34)^(4-1)-ABS($C38)*'01_Assumptions'!$E$31*(1+'01_Assumptions'!$E$34)^(4-1)-'01_Assumptions'!$E$32*(1+'01_Assumptions'!$E$34)^(4-1)-$A38*'01_Assumptions'!$E$11*'01_Assumptions'!$E$12*'01_Assumptions'!$E$24*'01_Assumptions'!$E$33*(1+'01_Assumptions'!$E$34)^(4-1))-ABS($C38)/'01_Assumptions'!$E$9)*'01_Assumptions'!$E$8)</x:f>
        <x:v>1020917.8837160999</x:v>
      </x:c>
      <x:c r="H38" s="126" t="n">
        <x:f>($A38*'01_Assumptions'!$E$11*'01_Assumptions'!$E$12*'01_Assumptions'!$E$13*$B38*(1+'01_Assumptions'!$E$16)^(5-1)*'01_Assumptions'!$E$14*'01_Assumptions'!$E$15+'01_Assumptions'!$E$36*(1+'01_Assumptions'!$E$34)^(5-1)-ABS($C38)*'01_Assumptions'!$E$31*(1+'01_Assumptions'!$E$34)^(5-1)-'01_Assumptions'!$E$32*(1+'01_Assumptions'!$E$34)^(5-1)-$A38*'01_Assumptions'!$E$11*'01_Assumptions'!$E$12*'01_Assumptions'!$E$24*'01_Assumptions'!$E$33*(1+'01_Assumptions'!$E$34)^(5-1))-MAX(0,(($A38*'01_Assumptions'!$E$11*'01_Assumptions'!$E$12*'01_Assumptions'!$E$13*$B38*(1+'01_Assumptions'!$E$16)^(5-1)*'01_Assumptions'!$E$14*'01_Assumptions'!$E$15+'01_Assumptions'!$E$36*(1+'01_Assumptions'!$E$34)^(5-1)-ABS($C38)*'01_Assumptions'!$E$31*(1+'01_Assumptions'!$E$34)^(5-1)-'01_Assumptions'!$E$32*(1+'01_Assumptions'!$E$34)^(5-1)-$A38*'01_Assumptions'!$E$11*'01_Assumptions'!$E$12*'01_Assumptions'!$E$24*'01_Assumptions'!$E$33*(1+'01_Assumptions'!$E$34)^(5-1))-ABS($C38)/'01_Assumptions'!$E$9)*'01_Assumptions'!$E$8)+ABS($C38)*'01_Assumptions'!$E$35*(1-'01_Assumptions'!$E$8)</x:f>
        <x:v>1119195.4192099832</x:v>
      </x:c>
      <x:c r="I38" s="126" t="n">
        <x:f>C38+NPV('01_Assumptions'!$E$7,D38:H38)</x:f>
        <x:v>2262402.7749809586</x:v>
      </x:c>
      <x:c r="J38" s="287"/>
    </x:row>
    <x:row r="39">
      <x:c r="A39" s="52" t="n">
        <x:v>2.5</x:v>
      </x:c>
      <x:c r="B39" s="126" t="n">
        <x:v>500</x:v>
      </x:c>
      <x:c r="C39" s="126" t="n">
        <x:f>-SUM('01_Assumptions'!$E$25:$E$29)*(1+'01_Assumptions'!$E$30)</x:f>
        <x:v>-1732500.0000000002</x:v>
      </x:c>
      <x:c r="D39" s="126" t="n">
        <x:f>($A39*'01_Assumptions'!$E$11*'01_Assumptions'!$E$12*'01_Assumptions'!$E$13*$B39*(1+'01_Assumptions'!$E$16)^(1-1)*'01_Assumptions'!$E$14*'01_Assumptions'!$E$15+'01_Assumptions'!$E$36*(1+'01_Assumptions'!$E$34)^(1-1)-ABS($C39)*'01_Assumptions'!$E$31*(1+'01_Assumptions'!$E$34)^(1-1)-'01_Assumptions'!$E$32*(1+'01_Assumptions'!$E$34)^(1-1)-$A39*'01_Assumptions'!$E$11*'01_Assumptions'!$E$12*'01_Assumptions'!$E$24*'01_Assumptions'!$E$33*(1+'01_Assumptions'!$E$34)^(1-1))-MAX(0,(($A39*'01_Assumptions'!$E$11*'01_Assumptions'!$E$12*'01_Assumptions'!$E$13*$B39*(1+'01_Assumptions'!$E$16)^(1-1)*'01_Assumptions'!$E$14*'01_Assumptions'!$E$15+'01_Assumptions'!$E$36*(1+'01_Assumptions'!$E$34)^(1-1)-ABS($C39)*'01_Assumptions'!$E$31*(1+'01_Assumptions'!$E$34)^(1-1)-'01_Assumptions'!$E$32*(1+'01_Assumptions'!$E$34)^(1-1)-$A39*'01_Assumptions'!$E$11*'01_Assumptions'!$E$12*'01_Assumptions'!$E$24*'01_Assumptions'!$E$33*(1+'01_Assumptions'!$E$34)^(1-1))-ABS($C39)/'01_Assumptions'!$E$9)*'01_Assumptions'!$E$8)</x:f>
        <x:v>1044426</x:v>
      </x:c>
      <x:c r="E39" s="126" t="n">
        <x:f>($A39*'01_Assumptions'!$E$11*'01_Assumptions'!$E$12*'01_Assumptions'!$E$13*$B39*(1+'01_Assumptions'!$E$16)^(2-1)*'01_Assumptions'!$E$14*'01_Assumptions'!$E$15+'01_Assumptions'!$E$36*(1+'01_Assumptions'!$E$34)^(2-1)-ABS($C39)*'01_Assumptions'!$E$31*(1+'01_Assumptions'!$E$34)^(2-1)-'01_Assumptions'!$E$32*(1+'01_Assumptions'!$E$34)^(2-1)-$A39*'01_Assumptions'!$E$11*'01_Assumptions'!$E$12*'01_Assumptions'!$E$24*'01_Assumptions'!$E$33*(1+'01_Assumptions'!$E$34)^(2-1))-MAX(0,(($A39*'01_Assumptions'!$E$11*'01_Assumptions'!$E$12*'01_Assumptions'!$E$13*$B39*(1+'01_Assumptions'!$E$16)^(2-1)*'01_Assumptions'!$E$14*'01_Assumptions'!$E$15+'01_Assumptions'!$E$36*(1+'01_Assumptions'!$E$34)^(2-1)-ABS($C39)*'01_Assumptions'!$E$31*(1+'01_Assumptions'!$E$34)^(2-1)-'01_Assumptions'!$E$32*(1+'01_Assumptions'!$E$34)^(2-1)-$A39*'01_Assumptions'!$E$11*'01_Assumptions'!$E$12*'01_Assumptions'!$E$24*'01_Assumptions'!$E$33*(1+'01_Assumptions'!$E$34)^(2-1))-ABS($C39)/'01_Assumptions'!$E$9)*'01_Assumptions'!$E$8)</x:f>
        <x:v>1074570.21</x:v>
      </x:c>
      <x:c r="F39" s="126" t="n">
        <x:f>($A39*'01_Assumptions'!$E$11*'01_Assumptions'!$E$12*'01_Assumptions'!$E$13*$B39*(1+'01_Assumptions'!$E$16)^(3-1)*'01_Assumptions'!$E$14*'01_Assumptions'!$E$15+'01_Assumptions'!$E$36*(1+'01_Assumptions'!$E$34)^(3-1)-ABS($C39)*'01_Assumptions'!$E$31*(1+'01_Assumptions'!$E$34)^(3-1)-'01_Assumptions'!$E$32*(1+'01_Assumptions'!$E$34)^(3-1)-$A39*'01_Assumptions'!$E$11*'01_Assumptions'!$E$12*'01_Assumptions'!$E$24*'01_Assumptions'!$E$33*(1+'01_Assumptions'!$E$34)^(3-1))-MAX(0,(($A39*'01_Assumptions'!$E$11*'01_Assumptions'!$E$12*'01_Assumptions'!$E$13*$B39*(1+'01_Assumptions'!$E$16)^(3-1)*'01_Assumptions'!$E$14*'01_Assumptions'!$E$15+'01_Assumptions'!$E$36*(1+'01_Assumptions'!$E$34)^(3-1)-ABS($C39)*'01_Assumptions'!$E$31*(1+'01_Assumptions'!$E$34)^(3-1)-'01_Assumptions'!$E$32*(1+'01_Assumptions'!$E$34)^(3-1)-$A39*'01_Assumptions'!$E$11*'01_Assumptions'!$E$12*'01_Assumptions'!$E$24*'01_Assumptions'!$E$33*(1+'01_Assumptions'!$E$34)^(3-1))-ABS($C39)/'01_Assumptions'!$E$9)*'01_Assumptions'!$E$8)</x:f>
        <x:v>1105637.8023</x:v>
      </x:c>
      <x:c r="G39" s="126" t="n">
        <x:f>($A39*'01_Assumptions'!$E$11*'01_Assumptions'!$E$12*'01_Assumptions'!$E$13*$B39*(1+'01_Assumptions'!$E$16)^(4-1)*'01_Assumptions'!$E$14*'01_Assumptions'!$E$15+'01_Assumptions'!$E$36*(1+'01_Assumptions'!$E$34)^(4-1)-ABS($C39)*'01_Assumptions'!$E$31*(1+'01_Assumptions'!$E$34)^(4-1)-'01_Assumptions'!$E$32*(1+'01_Assumptions'!$E$34)^(4-1)-$A39*'01_Assumptions'!$E$11*'01_Assumptions'!$E$12*'01_Assumptions'!$E$24*'01_Assumptions'!$E$33*(1+'01_Assumptions'!$E$34)^(4-1))-MAX(0,(($A39*'01_Assumptions'!$E$11*'01_Assumptions'!$E$12*'01_Assumptions'!$E$13*$B39*(1+'01_Assumptions'!$E$16)^(4-1)*'01_Assumptions'!$E$14*'01_Assumptions'!$E$15+'01_Assumptions'!$E$36*(1+'01_Assumptions'!$E$34)^(4-1)-ABS($C39)*'01_Assumptions'!$E$31*(1+'01_Assumptions'!$E$34)^(4-1)-'01_Assumptions'!$E$32*(1+'01_Assumptions'!$E$34)^(4-1)-$A39*'01_Assumptions'!$E$11*'01_Assumptions'!$E$12*'01_Assumptions'!$E$24*'01_Assumptions'!$E$33*(1+'01_Assumptions'!$E$34)^(4-1))-ABS($C39)/'01_Assumptions'!$E$9)*'01_Assumptions'!$E$8)</x:f>
        <x:v>1137656.8594890002</x:v>
      </x:c>
      <x:c r="H39" s="126" t="n">
        <x:f>($A39*'01_Assumptions'!$E$11*'01_Assumptions'!$E$12*'01_Assumptions'!$E$13*$B39*(1+'01_Assumptions'!$E$16)^(5-1)*'01_Assumptions'!$E$14*'01_Assumptions'!$E$15+'01_Assumptions'!$E$36*(1+'01_Assumptions'!$E$34)^(5-1)-ABS($C39)*'01_Assumptions'!$E$31*(1+'01_Assumptions'!$E$34)^(5-1)-'01_Assumptions'!$E$32*(1+'01_Assumptions'!$E$34)^(5-1)-$A39*'01_Assumptions'!$E$11*'01_Assumptions'!$E$12*'01_Assumptions'!$E$24*'01_Assumptions'!$E$33*(1+'01_Assumptions'!$E$34)^(5-1))-MAX(0,(($A39*'01_Assumptions'!$E$11*'01_Assumptions'!$E$12*'01_Assumptions'!$E$13*$B39*(1+'01_Assumptions'!$E$16)^(5-1)*'01_Assumptions'!$E$14*'01_Assumptions'!$E$15+'01_Assumptions'!$E$36*(1+'01_Assumptions'!$E$34)^(5-1)-ABS($C39)*'01_Assumptions'!$E$31*(1+'01_Assumptions'!$E$34)^(5-1)-'01_Assumptions'!$E$32*(1+'01_Assumptions'!$E$34)^(5-1)-$A39*'01_Assumptions'!$E$11*'01_Assumptions'!$E$12*'01_Assumptions'!$E$24*'01_Assumptions'!$E$33*(1+'01_Assumptions'!$E$34)^(5-1))-ABS($C39)/'01_Assumptions'!$E$9)*'01_Assumptions'!$E$8)+ABS($C39)*'01_Assumptions'!$E$35*(1-'01_Assumptions'!$E$8)</x:f>
        <x:v>1239436.5642560702</x:v>
      </x:c>
      <x:c r="I39" s="126" t="n">
        <x:f>C39+NPV('01_Assumptions'!$E$7,D39:H39)</x:f>
        <x:v>2713274.2550253766</x:v>
      </x:c>
      <x:c r="J39" s="287"/>
    </x:row>
    <x:row r="40">
      <x:c r="A40" s="52" t="n">
        <x:v>2.5</x:v>
      </x:c>
      <x:c r="B40" s="126" t="n">
        <x:v>550</x:v>
      </x:c>
      <x:c r="C40" s="126" t="n">
        <x:f>-SUM('01_Assumptions'!$E$25:$E$29)*(1+'01_Assumptions'!$E$30)</x:f>
        <x:v>-1732500.0000000002</x:v>
      </x:c>
      <x:c r="D40" s="126" t="n">
        <x:f>($A40*'01_Assumptions'!$E$11*'01_Assumptions'!$E$12*'01_Assumptions'!$E$13*$B40*(1+'01_Assumptions'!$E$16)^(1-1)*'01_Assumptions'!$E$14*'01_Assumptions'!$E$15+'01_Assumptions'!$E$36*(1+'01_Assumptions'!$E$34)^(1-1)-ABS($C40)*'01_Assumptions'!$E$31*(1+'01_Assumptions'!$E$34)^(1-1)-'01_Assumptions'!$E$32*(1+'01_Assumptions'!$E$34)^(1-1)-$A40*'01_Assumptions'!$E$11*'01_Assumptions'!$E$12*'01_Assumptions'!$E$24*'01_Assumptions'!$E$33*(1+'01_Assumptions'!$E$34)^(1-1))-MAX(0,(($A40*'01_Assumptions'!$E$11*'01_Assumptions'!$E$12*'01_Assumptions'!$E$13*$B40*(1+'01_Assumptions'!$E$16)^(1-1)*'01_Assumptions'!$E$14*'01_Assumptions'!$E$15+'01_Assumptions'!$E$36*(1+'01_Assumptions'!$E$34)^(1-1)-ABS($C40)*'01_Assumptions'!$E$31*(1+'01_Assumptions'!$E$34)^(1-1)-'01_Assumptions'!$E$32*(1+'01_Assumptions'!$E$34)^(1-1)-$A40*'01_Assumptions'!$E$11*'01_Assumptions'!$E$12*'01_Assumptions'!$E$24*'01_Assumptions'!$E$33*(1+'01_Assumptions'!$E$34)^(1-1))-ABS($C40)/'01_Assumptions'!$E$9)*'01_Assumptions'!$E$8)</x:f>
        <x:v>1151258.7</x:v>
      </x:c>
      <x:c r="E40" s="126" t="n">
        <x:f>($A40*'01_Assumptions'!$E$11*'01_Assumptions'!$E$12*'01_Assumptions'!$E$13*$B40*(1+'01_Assumptions'!$E$16)^(2-1)*'01_Assumptions'!$E$14*'01_Assumptions'!$E$15+'01_Assumptions'!$E$36*(1+'01_Assumptions'!$E$34)^(2-1)-ABS($C40)*'01_Assumptions'!$E$31*(1+'01_Assumptions'!$E$34)^(2-1)-'01_Assumptions'!$E$32*(1+'01_Assumptions'!$E$34)^(2-1)-$A40*'01_Assumptions'!$E$11*'01_Assumptions'!$E$12*'01_Assumptions'!$E$24*'01_Assumptions'!$E$33*(1+'01_Assumptions'!$E$34)^(2-1))-MAX(0,(($A40*'01_Assumptions'!$E$11*'01_Assumptions'!$E$12*'01_Assumptions'!$E$13*$B40*(1+'01_Assumptions'!$E$16)^(2-1)*'01_Assumptions'!$E$14*'01_Assumptions'!$E$15+'01_Assumptions'!$E$36*(1+'01_Assumptions'!$E$34)^(2-1)-ABS($C40)*'01_Assumptions'!$E$31*(1+'01_Assumptions'!$E$34)^(2-1)-'01_Assumptions'!$E$32*(1+'01_Assumptions'!$E$34)^(2-1)-$A40*'01_Assumptions'!$E$11*'01_Assumptions'!$E$12*'01_Assumptions'!$E$24*'01_Assumptions'!$E$33*(1+'01_Assumptions'!$E$34)^(2-1))-ABS($C40)/'01_Assumptions'!$E$9)*'01_Assumptions'!$E$8)</x:f>
        <x:v>1184607.891</x:v>
      </x:c>
      <x:c r="F40" s="126" t="n">
        <x:f>($A40*'01_Assumptions'!$E$11*'01_Assumptions'!$E$12*'01_Assumptions'!$E$13*$B40*(1+'01_Assumptions'!$E$16)^(3-1)*'01_Assumptions'!$E$14*'01_Assumptions'!$E$15+'01_Assumptions'!$E$36*(1+'01_Assumptions'!$E$34)^(3-1)-ABS($C40)*'01_Assumptions'!$E$31*(1+'01_Assumptions'!$E$34)^(3-1)-'01_Assumptions'!$E$32*(1+'01_Assumptions'!$E$34)^(3-1)-$A40*'01_Assumptions'!$E$11*'01_Assumptions'!$E$12*'01_Assumptions'!$E$24*'01_Assumptions'!$E$33*(1+'01_Assumptions'!$E$34)^(3-1))-MAX(0,(($A40*'01_Assumptions'!$E$11*'01_Assumptions'!$E$12*'01_Assumptions'!$E$13*$B40*(1+'01_Assumptions'!$E$16)^(3-1)*'01_Assumptions'!$E$14*'01_Assumptions'!$E$15+'01_Assumptions'!$E$36*(1+'01_Assumptions'!$E$34)^(3-1)-ABS($C40)*'01_Assumptions'!$E$31*(1+'01_Assumptions'!$E$34)^(3-1)-'01_Assumptions'!$E$32*(1+'01_Assumptions'!$E$34)^(3-1)-$A40*'01_Assumptions'!$E$11*'01_Assumptions'!$E$12*'01_Assumptions'!$E$24*'01_Assumptions'!$E$33*(1+'01_Assumptions'!$E$34)^(3-1))-ABS($C40)/'01_Assumptions'!$E$9)*'01_Assumptions'!$E$8)</x:f>
        <x:v>1218976.61373</x:v>
      </x:c>
      <x:c r="G40" s="126" t="n">
        <x:f>($A40*'01_Assumptions'!$E$11*'01_Assumptions'!$E$12*'01_Assumptions'!$E$13*$B40*(1+'01_Assumptions'!$E$16)^(4-1)*'01_Assumptions'!$E$14*'01_Assumptions'!$E$15+'01_Assumptions'!$E$36*(1+'01_Assumptions'!$E$34)^(4-1)-ABS($C40)*'01_Assumptions'!$E$31*(1+'01_Assumptions'!$E$34)^(4-1)-'01_Assumptions'!$E$32*(1+'01_Assumptions'!$E$34)^(4-1)-$A40*'01_Assumptions'!$E$11*'01_Assumptions'!$E$12*'01_Assumptions'!$E$24*'01_Assumptions'!$E$33*(1+'01_Assumptions'!$E$34)^(4-1))-MAX(0,(($A40*'01_Assumptions'!$E$11*'01_Assumptions'!$E$12*'01_Assumptions'!$E$13*$B40*(1+'01_Assumptions'!$E$16)^(4-1)*'01_Assumptions'!$E$14*'01_Assumptions'!$E$15+'01_Assumptions'!$E$36*(1+'01_Assumptions'!$E$34)^(4-1)-ABS($C40)*'01_Assumptions'!$E$31*(1+'01_Assumptions'!$E$34)^(4-1)-'01_Assumptions'!$E$32*(1+'01_Assumptions'!$E$34)^(4-1)-$A40*'01_Assumptions'!$E$11*'01_Assumptions'!$E$12*'01_Assumptions'!$E$24*'01_Assumptions'!$E$33*(1+'01_Assumptions'!$E$34)^(4-1))-ABS($C40)/'01_Assumptions'!$E$9)*'01_Assumptions'!$E$8)</x:f>
        <x:v>1254395.8352619002</x:v>
      </x:c>
      <x:c r="H40" s="126" t="n">
        <x:f>($A40*'01_Assumptions'!$E$11*'01_Assumptions'!$E$12*'01_Assumptions'!$E$13*$B40*(1+'01_Assumptions'!$E$16)^(5-1)*'01_Assumptions'!$E$14*'01_Assumptions'!$E$15+'01_Assumptions'!$E$36*(1+'01_Assumptions'!$E$34)^(5-1)-ABS($C40)*'01_Assumptions'!$E$31*(1+'01_Assumptions'!$E$34)^(5-1)-'01_Assumptions'!$E$32*(1+'01_Assumptions'!$E$34)^(5-1)-$A40*'01_Assumptions'!$E$11*'01_Assumptions'!$E$12*'01_Assumptions'!$E$24*'01_Assumptions'!$E$33*(1+'01_Assumptions'!$E$34)^(5-1))-MAX(0,(($A40*'01_Assumptions'!$E$11*'01_Assumptions'!$E$12*'01_Assumptions'!$E$13*$B40*(1+'01_Assumptions'!$E$16)^(5-1)*'01_Assumptions'!$E$14*'01_Assumptions'!$E$15+'01_Assumptions'!$E$36*(1+'01_Assumptions'!$E$34)^(5-1)-ABS($C40)*'01_Assumptions'!$E$31*(1+'01_Assumptions'!$E$34)^(5-1)-'01_Assumptions'!$E$32*(1+'01_Assumptions'!$E$34)^(5-1)-$A40*'01_Assumptions'!$E$11*'01_Assumptions'!$E$12*'01_Assumptions'!$E$24*'01_Assumptions'!$E$33*(1+'01_Assumptions'!$E$34)^(5-1))-ABS($C40)/'01_Assumptions'!$E$9)*'01_Assumptions'!$E$8)+ABS($C40)*'01_Assumptions'!$E$35*(1-'01_Assumptions'!$E$8)</x:f>
        <x:v>1359677.7093021572</x:v>
      </x:c>
      <x:c r="I40" s="126" t="n">
        <x:f>C40+NPV('01_Assumptions'!$E$7,D40:H40)</x:f>
        <x:v>3164145.7350697946</x:v>
      </x:c>
      <x:c r="J40" s="287"/>
    </x:row>
    <x:row r="41">
      <x:c r="A41" s="52" t="n">
        <x:v>3</x:v>
      </x:c>
      <x:c r="B41" s="126" t="n">
        <x:v>350</x:v>
      </x:c>
      <x:c r="C41" s="126" t="n">
        <x:f>-SUM('01_Assumptions'!$E$25:$E$29)*(1+'01_Assumptions'!$E$30)</x:f>
        <x:v>-1732500.0000000002</x:v>
      </x:c>
      <x:c r="D41" s="126" t="n">
        <x:f>($A41*'01_Assumptions'!$E$11*'01_Assumptions'!$E$12*'01_Assumptions'!$E$13*$B41*(1+'01_Assumptions'!$E$16)^(1-1)*'01_Assumptions'!$E$14*'01_Assumptions'!$E$15+'01_Assumptions'!$E$36*(1+'01_Assumptions'!$E$34)^(1-1)-ABS($C41)*'01_Assumptions'!$E$31*(1+'01_Assumptions'!$E$34)^(1-1)-'01_Assumptions'!$E$32*(1+'01_Assumptions'!$E$34)^(1-1)-$A41*'01_Assumptions'!$E$11*'01_Assumptions'!$E$12*'01_Assumptions'!$E$24*'01_Assumptions'!$E$33*(1+'01_Assumptions'!$E$34)^(1-1))-MAX(0,(($A41*'01_Assumptions'!$E$11*'01_Assumptions'!$E$12*'01_Assumptions'!$E$13*$B41*(1+'01_Assumptions'!$E$16)^(1-1)*'01_Assumptions'!$E$14*'01_Assumptions'!$E$15+'01_Assumptions'!$E$36*(1+'01_Assumptions'!$E$34)^(1-1)-ABS($C41)*'01_Assumptions'!$E$31*(1+'01_Assumptions'!$E$34)^(1-1)-'01_Assumptions'!$E$32*(1+'01_Assumptions'!$E$34)^(1-1)-$A41*'01_Assumptions'!$E$11*'01_Assumptions'!$E$12*'01_Assumptions'!$E$24*'01_Assumptions'!$E$33*(1+'01_Assumptions'!$E$34)^(1-1))-ABS($C41)/'01_Assumptions'!$E$9)*'01_Assumptions'!$E$8)</x:f>
        <x:v>872957.73</x:v>
      </x:c>
      <x:c r="E41" s="126" t="n">
        <x:f>($A41*'01_Assumptions'!$E$11*'01_Assumptions'!$E$12*'01_Assumptions'!$E$13*$B41*(1+'01_Assumptions'!$E$16)^(2-1)*'01_Assumptions'!$E$14*'01_Assumptions'!$E$15+'01_Assumptions'!$E$36*(1+'01_Assumptions'!$E$34)^(2-1)-ABS($C41)*'01_Assumptions'!$E$31*(1+'01_Assumptions'!$E$34)^(2-1)-'01_Assumptions'!$E$32*(1+'01_Assumptions'!$E$34)^(2-1)-$A41*'01_Assumptions'!$E$11*'01_Assumptions'!$E$12*'01_Assumptions'!$E$24*'01_Assumptions'!$E$33*(1+'01_Assumptions'!$E$34)^(2-1))-MAX(0,(($A41*'01_Assumptions'!$E$11*'01_Assumptions'!$E$12*'01_Assumptions'!$E$13*$B41*(1+'01_Assumptions'!$E$16)^(2-1)*'01_Assumptions'!$E$14*'01_Assumptions'!$E$15+'01_Assumptions'!$E$36*(1+'01_Assumptions'!$E$34)^(2-1)-ABS($C41)*'01_Assumptions'!$E$31*(1+'01_Assumptions'!$E$34)^(2-1)-'01_Assumptions'!$E$32*(1+'01_Assumptions'!$E$34)^(2-1)-$A41*'01_Assumptions'!$E$11*'01_Assumptions'!$E$12*'01_Assumptions'!$E$24*'01_Assumptions'!$E$33*(1+'01_Assumptions'!$E$34)^(2-1))-ABS($C41)/'01_Assumptions'!$E$9)*'01_Assumptions'!$E$8)</x:f>
        <x:v>897963.2514000001</x:v>
      </x:c>
      <x:c r="F41" s="126" t="n">
        <x:f>($A41*'01_Assumptions'!$E$11*'01_Assumptions'!$E$12*'01_Assumptions'!$E$13*$B41*(1+'01_Assumptions'!$E$16)^(3-1)*'01_Assumptions'!$E$14*'01_Assumptions'!$E$15+'01_Assumptions'!$E$36*(1+'01_Assumptions'!$E$34)^(3-1)-ABS($C41)*'01_Assumptions'!$E$31*(1+'01_Assumptions'!$E$34)^(3-1)-'01_Assumptions'!$E$32*(1+'01_Assumptions'!$E$34)^(3-1)-$A41*'01_Assumptions'!$E$11*'01_Assumptions'!$E$12*'01_Assumptions'!$E$24*'01_Assumptions'!$E$33*(1+'01_Assumptions'!$E$34)^(3-1))-MAX(0,(($A41*'01_Assumptions'!$E$11*'01_Assumptions'!$E$12*'01_Assumptions'!$E$13*$B41*(1+'01_Assumptions'!$E$16)^(3-1)*'01_Assumptions'!$E$14*'01_Assumptions'!$E$15+'01_Assumptions'!$E$36*(1+'01_Assumptions'!$E$34)^(3-1)-ABS($C41)*'01_Assumptions'!$E$31*(1+'01_Assumptions'!$E$34)^(3-1)-'01_Assumptions'!$E$32*(1+'01_Assumptions'!$E$34)^(3-1)-$A41*'01_Assumptions'!$E$11*'01_Assumptions'!$E$12*'01_Assumptions'!$E$24*'01_Assumptions'!$E$33*(1+'01_Assumptions'!$E$34)^(3-1))-ABS($C41)/'01_Assumptions'!$E$9)*'01_Assumptions'!$E$8)</x:f>
        <x:v>923738.1016320002</x:v>
      </x:c>
      <x:c r="G41" s="126" t="n">
        <x:f>($A41*'01_Assumptions'!$E$11*'01_Assumptions'!$E$12*'01_Assumptions'!$E$13*$B41*(1+'01_Assumptions'!$E$16)^(4-1)*'01_Assumptions'!$E$14*'01_Assumptions'!$E$15+'01_Assumptions'!$E$36*(1+'01_Assumptions'!$E$34)^(4-1)-ABS($C41)*'01_Assumptions'!$E$31*(1+'01_Assumptions'!$E$34)^(4-1)-'01_Assumptions'!$E$32*(1+'01_Assumptions'!$E$34)^(4-1)-$A41*'01_Assumptions'!$E$11*'01_Assumptions'!$E$12*'01_Assumptions'!$E$24*'01_Assumptions'!$E$33*(1+'01_Assumptions'!$E$34)^(4-1))-MAX(0,(($A41*'01_Assumptions'!$E$11*'01_Assumptions'!$E$12*'01_Assumptions'!$E$13*$B41*(1+'01_Assumptions'!$E$16)^(4-1)*'01_Assumptions'!$E$14*'01_Assumptions'!$E$15+'01_Assumptions'!$E$36*(1+'01_Assumptions'!$E$34)^(4-1)-ABS($C41)*'01_Assumptions'!$E$31*(1+'01_Assumptions'!$E$34)^(4-1)-'01_Assumptions'!$E$32*(1+'01_Assumptions'!$E$34)^(4-1)-$A41*'01_Assumptions'!$E$11*'01_Assumptions'!$E$12*'01_Assumptions'!$E$24*'01_Assumptions'!$E$33*(1+'01_Assumptions'!$E$34)^(4-1))-ABS($C41)/'01_Assumptions'!$E$9)*'01_Assumptions'!$E$8)</x:f>
        <x:v>950305.7438247602</x:v>
      </x:c>
      <x:c r="H41" s="126" t="n">
        <x:f>($A41*'01_Assumptions'!$E$11*'01_Assumptions'!$E$12*'01_Assumptions'!$E$13*$B41*(1+'01_Assumptions'!$E$16)^(5-1)*'01_Assumptions'!$E$14*'01_Assumptions'!$E$15+'01_Assumptions'!$E$36*(1+'01_Assumptions'!$E$34)^(5-1)-ABS($C41)*'01_Assumptions'!$E$31*(1+'01_Assumptions'!$E$34)^(5-1)-'01_Assumptions'!$E$32*(1+'01_Assumptions'!$E$34)^(5-1)-$A41*'01_Assumptions'!$E$11*'01_Assumptions'!$E$12*'01_Assumptions'!$E$24*'01_Assumptions'!$E$33*(1+'01_Assumptions'!$E$34)^(5-1))-MAX(0,(($A41*'01_Assumptions'!$E$11*'01_Assumptions'!$E$12*'01_Assumptions'!$E$13*$B41*(1+'01_Assumptions'!$E$16)^(5-1)*'01_Assumptions'!$E$14*'01_Assumptions'!$E$15+'01_Assumptions'!$E$36*(1+'01_Assumptions'!$E$34)^(5-1)-ABS($C41)*'01_Assumptions'!$E$31*(1+'01_Assumptions'!$E$34)^(5-1)-'01_Assumptions'!$E$32*(1+'01_Assumptions'!$E$34)^(5-1)-$A41*'01_Assumptions'!$E$11*'01_Assumptions'!$E$12*'01_Assumptions'!$E$24*'01_Assumptions'!$E$33*(1+'01_Assumptions'!$E$34)^(5-1))-ABS($C41)/'01_Assumptions'!$E$9)*'01_Assumptions'!$E$8)+ABS($C41)*'01_Assumptions'!$E$35*(1-'01_Assumptions'!$E$8)</x:f>
        <x:v>1046470.6026661791</x:v>
      </x:c>
      <x:c r="I41" s="126" t="n">
        <x:f>C41+NPV('01_Assumptions'!$E$7,D41:H41)</x:f>
        <x:v>1989659.4357678455</x:v>
      </x:c>
      <x:c r="J41" s="287"/>
    </x:row>
    <x:row r="42">
      <x:c r="A42" s="52" t="n">
        <x:v>3</x:v>
      </x:c>
      <x:c r="B42" s="126" t="n">
        <x:v>400</x:v>
      </x:c>
      <x:c r="C42" s="126" t="n">
        <x:f>-SUM('01_Assumptions'!$E$25:$E$29)*(1+'01_Assumptions'!$E$30)</x:f>
        <x:v>-1732500.0000000002</x:v>
      </x:c>
      <x:c r="D42" s="126" t="n">
        <x:f>($A42*'01_Assumptions'!$E$11*'01_Assumptions'!$E$12*'01_Assumptions'!$E$13*$B42*(1+'01_Assumptions'!$E$16)^(1-1)*'01_Assumptions'!$E$14*'01_Assumptions'!$E$15+'01_Assumptions'!$E$36*(1+'01_Assumptions'!$E$34)^(1-1)-ABS($C42)*'01_Assumptions'!$E$31*(1+'01_Assumptions'!$E$34)^(1-1)-'01_Assumptions'!$E$32*(1+'01_Assumptions'!$E$34)^(1-1)-$A42*'01_Assumptions'!$E$11*'01_Assumptions'!$E$12*'01_Assumptions'!$E$24*'01_Assumptions'!$E$33*(1+'01_Assumptions'!$E$34)^(1-1))-MAX(0,(($A42*'01_Assumptions'!$E$11*'01_Assumptions'!$E$12*'01_Assumptions'!$E$13*$B42*(1+'01_Assumptions'!$E$16)^(1-1)*'01_Assumptions'!$E$14*'01_Assumptions'!$E$15+'01_Assumptions'!$E$36*(1+'01_Assumptions'!$E$34)^(1-1)-ABS($C42)*'01_Assumptions'!$E$31*(1+'01_Assumptions'!$E$34)^(1-1)-'01_Assumptions'!$E$32*(1+'01_Assumptions'!$E$34)^(1-1)-$A42*'01_Assumptions'!$E$11*'01_Assumptions'!$E$12*'01_Assumptions'!$E$24*'01_Assumptions'!$E$33*(1+'01_Assumptions'!$E$34)^(1-1))-ABS($C42)/'01_Assumptions'!$E$9)*'01_Assumptions'!$E$8)</x:f>
        <x:v>1001156.97</x:v>
      </x:c>
      <x:c r="E42" s="126" t="n">
        <x:f>($A42*'01_Assumptions'!$E$11*'01_Assumptions'!$E$12*'01_Assumptions'!$E$13*$B42*(1+'01_Assumptions'!$E$16)^(2-1)*'01_Assumptions'!$E$14*'01_Assumptions'!$E$15+'01_Assumptions'!$E$36*(1+'01_Assumptions'!$E$34)^(2-1)-ABS($C42)*'01_Assumptions'!$E$31*(1+'01_Assumptions'!$E$34)^(2-1)-'01_Assumptions'!$E$32*(1+'01_Assumptions'!$E$34)^(2-1)-$A42*'01_Assumptions'!$E$11*'01_Assumptions'!$E$12*'01_Assumptions'!$E$24*'01_Assumptions'!$E$33*(1+'01_Assumptions'!$E$34)^(2-1))-MAX(0,(($A42*'01_Assumptions'!$E$11*'01_Assumptions'!$E$12*'01_Assumptions'!$E$13*$B42*(1+'01_Assumptions'!$E$16)^(2-1)*'01_Assumptions'!$E$14*'01_Assumptions'!$E$15+'01_Assumptions'!$E$36*(1+'01_Assumptions'!$E$34)^(2-1)-ABS($C42)*'01_Assumptions'!$E$31*(1+'01_Assumptions'!$E$34)^(2-1)-'01_Assumptions'!$E$32*(1+'01_Assumptions'!$E$34)^(2-1)-$A42*'01_Assumptions'!$E$11*'01_Assumptions'!$E$12*'01_Assumptions'!$E$24*'01_Assumptions'!$E$33*(1+'01_Assumptions'!$E$34)^(2-1))-ABS($C42)/'01_Assumptions'!$E$9)*'01_Assumptions'!$E$8)</x:f>
        <x:v>1030008.4686000001</x:v>
      </x:c>
      <x:c r="F42" s="126" t="n">
        <x:f>($A42*'01_Assumptions'!$E$11*'01_Assumptions'!$E$12*'01_Assumptions'!$E$13*$B42*(1+'01_Assumptions'!$E$16)^(3-1)*'01_Assumptions'!$E$14*'01_Assumptions'!$E$15+'01_Assumptions'!$E$36*(1+'01_Assumptions'!$E$34)^(3-1)-ABS($C42)*'01_Assumptions'!$E$31*(1+'01_Assumptions'!$E$34)^(3-1)-'01_Assumptions'!$E$32*(1+'01_Assumptions'!$E$34)^(3-1)-$A42*'01_Assumptions'!$E$11*'01_Assumptions'!$E$12*'01_Assumptions'!$E$24*'01_Assumptions'!$E$33*(1+'01_Assumptions'!$E$34)^(3-1))-MAX(0,(($A42*'01_Assumptions'!$E$11*'01_Assumptions'!$E$12*'01_Assumptions'!$E$13*$B42*(1+'01_Assumptions'!$E$16)^(3-1)*'01_Assumptions'!$E$14*'01_Assumptions'!$E$15+'01_Assumptions'!$E$36*(1+'01_Assumptions'!$E$34)^(3-1)-ABS($C42)*'01_Assumptions'!$E$31*(1+'01_Assumptions'!$E$34)^(3-1)-'01_Assumptions'!$E$32*(1+'01_Assumptions'!$E$34)^(3-1)-$A42*'01_Assumptions'!$E$11*'01_Assumptions'!$E$12*'01_Assumptions'!$E$24*'01_Assumptions'!$E$33*(1+'01_Assumptions'!$E$34)^(3-1))-ABS($C42)/'01_Assumptions'!$E$9)*'01_Assumptions'!$E$8)</x:f>
        <x:v>1059744.6753480001</x:v>
      </x:c>
      <x:c r="G42" s="126" t="n">
        <x:f>($A42*'01_Assumptions'!$E$11*'01_Assumptions'!$E$12*'01_Assumptions'!$E$13*$B42*(1+'01_Assumptions'!$E$16)^(4-1)*'01_Assumptions'!$E$14*'01_Assumptions'!$E$15+'01_Assumptions'!$E$36*(1+'01_Assumptions'!$E$34)^(4-1)-ABS($C42)*'01_Assumptions'!$E$31*(1+'01_Assumptions'!$E$34)^(4-1)-'01_Assumptions'!$E$32*(1+'01_Assumptions'!$E$34)^(4-1)-$A42*'01_Assumptions'!$E$11*'01_Assumptions'!$E$12*'01_Assumptions'!$E$24*'01_Assumptions'!$E$33*(1+'01_Assumptions'!$E$34)^(4-1))-MAX(0,(($A42*'01_Assumptions'!$E$11*'01_Assumptions'!$E$12*'01_Assumptions'!$E$13*$B42*(1+'01_Assumptions'!$E$16)^(4-1)*'01_Assumptions'!$E$14*'01_Assumptions'!$E$15+'01_Assumptions'!$E$36*(1+'01_Assumptions'!$E$34)^(4-1)-ABS($C42)*'01_Assumptions'!$E$31*(1+'01_Assumptions'!$E$34)^(4-1)-'01_Assumptions'!$E$32*(1+'01_Assumptions'!$E$34)^(4-1)-$A42*'01_Assumptions'!$E$11*'01_Assumptions'!$E$12*'01_Assumptions'!$E$24*'01_Assumptions'!$E$33*(1+'01_Assumptions'!$E$34)^(4-1))-ABS($C42)/'01_Assumptions'!$E$9)*'01_Assumptions'!$E$8)</x:f>
        <x:v>1090392.5147522402</x:v>
      </x:c>
      <x:c r="H42" s="126" t="n">
        <x:f>($A42*'01_Assumptions'!$E$11*'01_Assumptions'!$E$12*'01_Assumptions'!$E$13*$B42*(1+'01_Assumptions'!$E$16)^(5-1)*'01_Assumptions'!$E$14*'01_Assumptions'!$E$15+'01_Assumptions'!$E$36*(1+'01_Assumptions'!$E$34)^(5-1)-ABS($C42)*'01_Assumptions'!$E$31*(1+'01_Assumptions'!$E$34)^(5-1)-'01_Assumptions'!$E$32*(1+'01_Assumptions'!$E$34)^(5-1)-$A42*'01_Assumptions'!$E$11*'01_Assumptions'!$E$12*'01_Assumptions'!$E$24*'01_Assumptions'!$E$33*(1+'01_Assumptions'!$E$34)^(5-1))-MAX(0,(($A42*'01_Assumptions'!$E$11*'01_Assumptions'!$E$12*'01_Assumptions'!$E$13*$B42*(1+'01_Assumptions'!$E$16)^(5-1)*'01_Assumptions'!$E$14*'01_Assumptions'!$E$15+'01_Assumptions'!$E$36*(1+'01_Assumptions'!$E$34)^(5-1)-ABS($C42)*'01_Assumptions'!$E$31*(1+'01_Assumptions'!$E$34)^(5-1)-'01_Assumptions'!$E$32*(1+'01_Assumptions'!$E$34)^(5-1)-$A42*'01_Assumptions'!$E$11*'01_Assumptions'!$E$12*'01_Assumptions'!$E$24*'01_Assumptions'!$E$33*(1+'01_Assumptions'!$E$34)^(5-1))-ABS($C42)/'01_Assumptions'!$E$9)*'01_Assumptions'!$E$8)+ABS($C42)*'01_Assumptions'!$E$35*(1-'01_Assumptions'!$E$8)</x:f>
        <x:v>1190759.9767214837</x:v>
      </x:c>
      <x:c r="I42" s="126" t="n">
        <x:f>C42+NPV('01_Assumptions'!$E$7,D42:H42)</x:f>
        <x:v>2530705.211821148</x:v>
      </x:c>
      <x:c r="J42" s="287"/>
    </x:row>
    <x:row r="43">
      <x:c r="A43" s="52" t="n">
        <x:v>3</x:v>
      </x:c>
      <x:c r="B43" s="126" t="n">
        <x:v>450</x:v>
      </x:c>
      <x:c r="C43" s="126" t="n">
        <x:f>-SUM('01_Assumptions'!$E$25:$E$29)*(1+'01_Assumptions'!$E$30)</x:f>
        <x:v>-1732500.0000000002</x:v>
      </x:c>
      <x:c r="D43" s="126" t="n">
        <x:f>($A43*'01_Assumptions'!$E$11*'01_Assumptions'!$E$12*'01_Assumptions'!$E$13*$B43*(1+'01_Assumptions'!$E$16)^(1-1)*'01_Assumptions'!$E$14*'01_Assumptions'!$E$15+'01_Assumptions'!$E$36*(1+'01_Assumptions'!$E$34)^(1-1)-ABS($C43)*'01_Assumptions'!$E$31*(1+'01_Assumptions'!$E$34)^(1-1)-'01_Assumptions'!$E$32*(1+'01_Assumptions'!$E$34)^(1-1)-$A43*'01_Assumptions'!$E$11*'01_Assumptions'!$E$12*'01_Assumptions'!$E$24*'01_Assumptions'!$E$33*(1+'01_Assumptions'!$E$34)^(1-1))-MAX(0,(($A43*'01_Assumptions'!$E$11*'01_Assumptions'!$E$12*'01_Assumptions'!$E$13*$B43*(1+'01_Assumptions'!$E$16)^(1-1)*'01_Assumptions'!$E$14*'01_Assumptions'!$E$15+'01_Assumptions'!$E$36*(1+'01_Assumptions'!$E$34)^(1-1)-ABS($C43)*'01_Assumptions'!$E$31*(1+'01_Assumptions'!$E$34)^(1-1)-'01_Assumptions'!$E$32*(1+'01_Assumptions'!$E$34)^(1-1)-$A43*'01_Assumptions'!$E$11*'01_Assumptions'!$E$12*'01_Assumptions'!$E$24*'01_Assumptions'!$E$33*(1+'01_Assumptions'!$E$34)^(1-1))-ABS($C43)/'01_Assumptions'!$E$9)*'01_Assumptions'!$E$8)</x:f>
        <x:v>1129356.21</x:v>
      </x:c>
      <x:c r="E43" s="126" t="n">
        <x:f>($A43*'01_Assumptions'!$E$11*'01_Assumptions'!$E$12*'01_Assumptions'!$E$13*$B43*(1+'01_Assumptions'!$E$16)^(2-1)*'01_Assumptions'!$E$14*'01_Assumptions'!$E$15+'01_Assumptions'!$E$36*(1+'01_Assumptions'!$E$34)^(2-1)-ABS($C43)*'01_Assumptions'!$E$31*(1+'01_Assumptions'!$E$34)^(2-1)-'01_Assumptions'!$E$32*(1+'01_Assumptions'!$E$34)^(2-1)-$A43*'01_Assumptions'!$E$11*'01_Assumptions'!$E$12*'01_Assumptions'!$E$24*'01_Assumptions'!$E$33*(1+'01_Assumptions'!$E$34)^(2-1))-MAX(0,(($A43*'01_Assumptions'!$E$11*'01_Assumptions'!$E$12*'01_Assumptions'!$E$13*$B43*(1+'01_Assumptions'!$E$16)^(2-1)*'01_Assumptions'!$E$14*'01_Assumptions'!$E$15+'01_Assumptions'!$E$36*(1+'01_Assumptions'!$E$34)^(2-1)-ABS($C43)*'01_Assumptions'!$E$31*(1+'01_Assumptions'!$E$34)^(2-1)-'01_Assumptions'!$E$32*(1+'01_Assumptions'!$E$34)^(2-1)-$A43*'01_Assumptions'!$E$11*'01_Assumptions'!$E$12*'01_Assumptions'!$E$24*'01_Assumptions'!$E$33*(1+'01_Assumptions'!$E$34)^(2-1))-ABS($C43)/'01_Assumptions'!$E$9)*'01_Assumptions'!$E$8)</x:f>
        <x:v>1162053.6858</x:v>
      </x:c>
      <x:c r="F43" s="126" t="n">
        <x:f>($A43*'01_Assumptions'!$E$11*'01_Assumptions'!$E$12*'01_Assumptions'!$E$13*$B43*(1+'01_Assumptions'!$E$16)^(3-1)*'01_Assumptions'!$E$14*'01_Assumptions'!$E$15+'01_Assumptions'!$E$36*(1+'01_Assumptions'!$E$34)^(3-1)-ABS($C43)*'01_Assumptions'!$E$31*(1+'01_Assumptions'!$E$34)^(3-1)-'01_Assumptions'!$E$32*(1+'01_Assumptions'!$E$34)^(3-1)-$A43*'01_Assumptions'!$E$11*'01_Assumptions'!$E$12*'01_Assumptions'!$E$24*'01_Assumptions'!$E$33*(1+'01_Assumptions'!$E$34)^(3-1))-MAX(0,(($A43*'01_Assumptions'!$E$11*'01_Assumptions'!$E$12*'01_Assumptions'!$E$13*$B43*(1+'01_Assumptions'!$E$16)^(3-1)*'01_Assumptions'!$E$14*'01_Assumptions'!$E$15+'01_Assumptions'!$E$36*(1+'01_Assumptions'!$E$34)^(3-1)-ABS($C43)*'01_Assumptions'!$E$31*(1+'01_Assumptions'!$E$34)^(3-1)-'01_Assumptions'!$E$32*(1+'01_Assumptions'!$E$34)^(3-1)-$A43*'01_Assumptions'!$E$11*'01_Assumptions'!$E$12*'01_Assumptions'!$E$24*'01_Assumptions'!$E$33*(1+'01_Assumptions'!$E$34)^(3-1))-ABS($C43)/'01_Assumptions'!$E$9)*'01_Assumptions'!$E$8)</x:f>
        <x:v>1195751.249064</x:v>
      </x:c>
      <x:c r="G43" s="126" t="n">
        <x:f>($A43*'01_Assumptions'!$E$11*'01_Assumptions'!$E$12*'01_Assumptions'!$E$13*$B43*(1+'01_Assumptions'!$E$16)^(4-1)*'01_Assumptions'!$E$14*'01_Assumptions'!$E$15+'01_Assumptions'!$E$36*(1+'01_Assumptions'!$E$34)^(4-1)-ABS($C43)*'01_Assumptions'!$E$31*(1+'01_Assumptions'!$E$34)^(4-1)-'01_Assumptions'!$E$32*(1+'01_Assumptions'!$E$34)^(4-1)-$A43*'01_Assumptions'!$E$11*'01_Assumptions'!$E$12*'01_Assumptions'!$E$24*'01_Assumptions'!$E$33*(1+'01_Assumptions'!$E$34)^(4-1))-MAX(0,(($A43*'01_Assumptions'!$E$11*'01_Assumptions'!$E$12*'01_Assumptions'!$E$13*$B43*(1+'01_Assumptions'!$E$16)^(4-1)*'01_Assumptions'!$E$14*'01_Assumptions'!$E$15+'01_Assumptions'!$E$36*(1+'01_Assumptions'!$E$34)^(4-1)-ABS($C43)*'01_Assumptions'!$E$31*(1+'01_Assumptions'!$E$34)^(4-1)-'01_Assumptions'!$E$32*(1+'01_Assumptions'!$E$34)^(4-1)-$A43*'01_Assumptions'!$E$11*'01_Assumptions'!$E$12*'01_Assumptions'!$E$24*'01_Assumptions'!$E$33*(1+'01_Assumptions'!$E$34)^(4-1))-ABS($C43)/'01_Assumptions'!$E$9)*'01_Assumptions'!$E$8)</x:f>
        <x:v>1230479.28567972</x:v>
      </x:c>
      <x:c r="H43" s="126" t="n">
        <x:f>($A43*'01_Assumptions'!$E$11*'01_Assumptions'!$E$12*'01_Assumptions'!$E$13*$B43*(1+'01_Assumptions'!$E$16)^(5-1)*'01_Assumptions'!$E$14*'01_Assumptions'!$E$15+'01_Assumptions'!$E$36*(1+'01_Assumptions'!$E$34)^(5-1)-ABS($C43)*'01_Assumptions'!$E$31*(1+'01_Assumptions'!$E$34)^(5-1)-'01_Assumptions'!$E$32*(1+'01_Assumptions'!$E$34)^(5-1)-$A43*'01_Assumptions'!$E$11*'01_Assumptions'!$E$12*'01_Assumptions'!$E$24*'01_Assumptions'!$E$33*(1+'01_Assumptions'!$E$34)^(5-1))-MAX(0,(($A43*'01_Assumptions'!$E$11*'01_Assumptions'!$E$12*'01_Assumptions'!$E$13*$B43*(1+'01_Assumptions'!$E$16)^(5-1)*'01_Assumptions'!$E$14*'01_Assumptions'!$E$15+'01_Assumptions'!$E$36*(1+'01_Assumptions'!$E$34)^(5-1)-ABS($C43)*'01_Assumptions'!$E$31*(1+'01_Assumptions'!$E$34)^(5-1)-'01_Assumptions'!$E$32*(1+'01_Assumptions'!$E$34)^(5-1)-$A43*'01_Assumptions'!$E$11*'01_Assumptions'!$E$12*'01_Assumptions'!$E$24*'01_Assumptions'!$E$33*(1+'01_Assumptions'!$E$34)^(5-1))-ABS($C43)/'01_Assumptions'!$E$9)*'01_Assumptions'!$E$8)+ABS($C43)*'01_Assumptions'!$E$35*(1-'01_Assumptions'!$E$8)</x:f>
        <x:v>1335049.3507767878</x:v>
      </x:c>
      <x:c r="I43" s="126" t="n">
        <x:f>C43+NPV('01_Assumptions'!$E$7,D43:H43)</x:f>
        <x:v>3071750.987874449</x:v>
      </x:c>
      <x:c r="J43" s="287"/>
    </x:row>
    <x:row r="44">
      <x:c r="A44" s="52" t="n">
        <x:v>3</x:v>
      </x:c>
      <x:c r="B44" s="126" t="n">
        <x:v>500</x:v>
      </x:c>
      <x:c r="C44" s="126" t="n">
        <x:f>-SUM('01_Assumptions'!$E$25:$E$29)*(1+'01_Assumptions'!$E$30)</x:f>
        <x:v>-1732500.0000000002</x:v>
      </x:c>
      <x:c r="D44" s="126" t="n">
        <x:f>($A44*'01_Assumptions'!$E$11*'01_Assumptions'!$E$12*'01_Assumptions'!$E$13*$B44*(1+'01_Assumptions'!$E$16)^(1-1)*'01_Assumptions'!$E$14*'01_Assumptions'!$E$15+'01_Assumptions'!$E$36*(1+'01_Assumptions'!$E$34)^(1-1)-ABS($C44)*'01_Assumptions'!$E$31*(1+'01_Assumptions'!$E$34)^(1-1)-'01_Assumptions'!$E$32*(1+'01_Assumptions'!$E$34)^(1-1)-$A44*'01_Assumptions'!$E$11*'01_Assumptions'!$E$12*'01_Assumptions'!$E$24*'01_Assumptions'!$E$33*(1+'01_Assumptions'!$E$34)^(1-1))-MAX(0,(($A44*'01_Assumptions'!$E$11*'01_Assumptions'!$E$12*'01_Assumptions'!$E$13*$B44*(1+'01_Assumptions'!$E$16)^(1-1)*'01_Assumptions'!$E$14*'01_Assumptions'!$E$15+'01_Assumptions'!$E$36*(1+'01_Assumptions'!$E$34)^(1-1)-ABS($C44)*'01_Assumptions'!$E$31*(1+'01_Assumptions'!$E$34)^(1-1)-'01_Assumptions'!$E$32*(1+'01_Assumptions'!$E$34)^(1-1)-$A44*'01_Assumptions'!$E$11*'01_Assumptions'!$E$12*'01_Assumptions'!$E$24*'01_Assumptions'!$E$33*(1+'01_Assumptions'!$E$34)^(1-1))-ABS($C44)/'01_Assumptions'!$E$9)*'01_Assumptions'!$E$8)</x:f>
        <x:v>1257555.45</x:v>
      </x:c>
      <x:c r="E44" s="126" t="n">
        <x:f>($A44*'01_Assumptions'!$E$11*'01_Assumptions'!$E$12*'01_Assumptions'!$E$13*$B44*(1+'01_Assumptions'!$E$16)^(2-1)*'01_Assumptions'!$E$14*'01_Assumptions'!$E$15+'01_Assumptions'!$E$36*(1+'01_Assumptions'!$E$34)^(2-1)-ABS($C44)*'01_Assumptions'!$E$31*(1+'01_Assumptions'!$E$34)^(2-1)-'01_Assumptions'!$E$32*(1+'01_Assumptions'!$E$34)^(2-1)-$A44*'01_Assumptions'!$E$11*'01_Assumptions'!$E$12*'01_Assumptions'!$E$24*'01_Assumptions'!$E$33*(1+'01_Assumptions'!$E$34)^(2-1))-MAX(0,(($A44*'01_Assumptions'!$E$11*'01_Assumptions'!$E$12*'01_Assumptions'!$E$13*$B44*(1+'01_Assumptions'!$E$16)^(2-1)*'01_Assumptions'!$E$14*'01_Assumptions'!$E$15+'01_Assumptions'!$E$36*(1+'01_Assumptions'!$E$34)^(2-1)-ABS($C44)*'01_Assumptions'!$E$31*(1+'01_Assumptions'!$E$34)^(2-1)-'01_Assumptions'!$E$32*(1+'01_Assumptions'!$E$34)^(2-1)-$A44*'01_Assumptions'!$E$11*'01_Assumptions'!$E$12*'01_Assumptions'!$E$24*'01_Assumptions'!$E$33*(1+'01_Assumptions'!$E$34)^(2-1))-ABS($C44)/'01_Assumptions'!$E$9)*'01_Assumptions'!$E$8)</x:f>
        <x:v>1294098.903</x:v>
      </x:c>
      <x:c r="F44" s="126" t="n">
        <x:f>($A44*'01_Assumptions'!$E$11*'01_Assumptions'!$E$12*'01_Assumptions'!$E$13*$B44*(1+'01_Assumptions'!$E$16)^(3-1)*'01_Assumptions'!$E$14*'01_Assumptions'!$E$15+'01_Assumptions'!$E$36*(1+'01_Assumptions'!$E$34)^(3-1)-ABS($C44)*'01_Assumptions'!$E$31*(1+'01_Assumptions'!$E$34)^(3-1)-'01_Assumptions'!$E$32*(1+'01_Assumptions'!$E$34)^(3-1)-$A44*'01_Assumptions'!$E$11*'01_Assumptions'!$E$12*'01_Assumptions'!$E$24*'01_Assumptions'!$E$33*(1+'01_Assumptions'!$E$34)^(3-1))-MAX(0,(($A44*'01_Assumptions'!$E$11*'01_Assumptions'!$E$12*'01_Assumptions'!$E$13*$B44*(1+'01_Assumptions'!$E$16)^(3-1)*'01_Assumptions'!$E$14*'01_Assumptions'!$E$15+'01_Assumptions'!$E$36*(1+'01_Assumptions'!$E$34)^(3-1)-ABS($C44)*'01_Assumptions'!$E$31*(1+'01_Assumptions'!$E$34)^(3-1)-'01_Assumptions'!$E$32*(1+'01_Assumptions'!$E$34)^(3-1)-$A44*'01_Assumptions'!$E$11*'01_Assumptions'!$E$12*'01_Assumptions'!$E$24*'01_Assumptions'!$E$33*(1+'01_Assumptions'!$E$34)^(3-1))-ABS($C44)/'01_Assumptions'!$E$9)*'01_Assumptions'!$E$8)</x:f>
        <x:v>1331757.82278</x:v>
      </x:c>
      <x:c r="G44" s="126" t="n">
        <x:f>($A44*'01_Assumptions'!$E$11*'01_Assumptions'!$E$12*'01_Assumptions'!$E$13*$B44*(1+'01_Assumptions'!$E$16)^(4-1)*'01_Assumptions'!$E$14*'01_Assumptions'!$E$15+'01_Assumptions'!$E$36*(1+'01_Assumptions'!$E$34)^(4-1)-ABS($C44)*'01_Assumptions'!$E$31*(1+'01_Assumptions'!$E$34)^(4-1)-'01_Assumptions'!$E$32*(1+'01_Assumptions'!$E$34)^(4-1)-$A44*'01_Assumptions'!$E$11*'01_Assumptions'!$E$12*'01_Assumptions'!$E$24*'01_Assumptions'!$E$33*(1+'01_Assumptions'!$E$34)^(4-1))-MAX(0,(($A44*'01_Assumptions'!$E$11*'01_Assumptions'!$E$12*'01_Assumptions'!$E$13*$B44*(1+'01_Assumptions'!$E$16)^(4-1)*'01_Assumptions'!$E$14*'01_Assumptions'!$E$15+'01_Assumptions'!$E$36*(1+'01_Assumptions'!$E$34)^(4-1)-ABS($C44)*'01_Assumptions'!$E$31*(1+'01_Assumptions'!$E$34)^(4-1)-'01_Assumptions'!$E$32*(1+'01_Assumptions'!$E$34)^(4-1)-$A44*'01_Assumptions'!$E$11*'01_Assumptions'!$E$12*'01_Assumptions'!$E$24*'01_Assumptions'!$E$33*(1+'01_Assumptions'!$E$34)^(4-1))-ABS($C44)/'01_Assumptions'!$E$9)*'01_Assumptions'!$E$8)</x:f>
        <x:v>1370566.0566072</x:v>
      </x:c>
      <x:c r="H44" s="126" t="n">
        <x:f>($A44*'01_Assumptions'!$E$11*'01_Assumptions'!$E$12*'01_Assumptions'!$E$13*$B44*(1+'01_Assumptions'!$E$16)^(5-1)*'01_Assumptions'!$E$14*'01_Assumptions'!$E$15+'01_Assumptions'!$E$36*(1+'01_Assumptions'!$E$34)^(5-1)-ABS($C44)*'01_Assumptions'!$E$31*(1+'01_Assumptions'!$E$34)^(5-1)-'01_Assumptions'!$E$32*(1+'01_Assumptions'!$E$34)^(5-1)-$A44*'01_Assumptions'!$E$11*'01_Assumptions'!$E$12*'01_Assumptions'!$E$24*'01_Assumptions'!$E$33*(1+'01_Assumptions'!$E$34)^(5-1))-MAX(0,(($A44*'01_Assumptions'!$E$11*'01_Assumptions'!$E$12*'01_Assumptions'!$E$13*$B44*(1+'01_Assumptions'!$E$16)^(5-1)*'01_Assumptions'!$E$14*'01_Assumptions'!$E$15+'01_Assumptions'!$E$36*(1+'01_Assumptions'!$E$34)^(5-1)-ABS($C44)*'01_Assumptions'!$E$31*(1+'01_Assumptions'!$E$34)^(5-1)-'01_Assumptions'!$E$32*(1+'01_Assumptions'!$E$34)^(5-1)-$A44*'01_Assumptions'!$E$11*'01_Assumptions'!$E$12*'01_Assumptions'!$E$24*'01_Assumptions'!$E$33*(1+'01_Assumptions'!$E$34)^(5-1))-ABS($C44)/'01_Assumptions'!$E$9)*'01_Assumptions'!$E$8)+ABS($C44)*'01_Assumptions'!$E$35*(1-'01_Assumptions'!$E$8)</x:f>
        <x:v>1479338.7248320924</x:v>
      </x:c>
      <x:c r="I44" s="126" t="n">
        <x:f>C44+NPV('01_Assumptions'!$E$7,D44:H44)</x:f>
        <x:v>3612796.763927751</x:v>
      </x:c>
      <x:c r="J44" s="287"/>
    </x:row>
    <x:row r="45">
      <x:c r="A45" s="53" t="n">
        <x:v>3</x:v>
      </x:c>
      <x:c r="B45" s="163" t="n">
        <x:v>550</x:v>
      </x:c>
      <x:c r="C45" s="163" t="n">
        <x:f>-SUM('01_Assumptions'!$E$25:$E$29)*(1+'01_Assumptions'!$E$30)</x:f>
        <x:v>-1732500.0000000002</x:v>
      </x:c>
      <x:c r="D45" s="163" t="n">
        <x:f>($A45*'01_Assumptions'!$E$11*'01_Assumptions'!$E$12*'01_Assumptions'!$E$13*$B45*(1+'01_Assumptions'!$E$16)^(1-1)*'01_Assumptions'!$E$14*'01_Assumptions'!$E$15+'01_Assumptions'!$E$36*(1+'01_Assumptions'!$E$34)^(1-1)-ABS($C45)*'01_Assumptions'!$E$31*(1+'01_Assumptions'!$E$34)^(1-1)-'01_Assumptions'!$E$32*(1+'01_Assumptions'!$E$34)^(1-1)-$A45*'01_Assumptions'!$E$11*'01_Assumptions'!$E$12*'01_Assumptions'!$E$24*'01_Assumptions'!$E$33*(1+'01_Assumptions'!$E$34)^(1-1))-MAX(0,(($A45*'01_Assumptions'!$E$11*'01_Assumptions'!$E$12*'01_Assumptions'!$E$13*$B45*(1+'01_Assumptions'!$E$16)^(1-1)*'01_Assumptions'!$E$14*'01_Assumptions'!$E$15+'01_Assumptions'!$E$36*(1+'01_Assumptions'!$E$34)^(1-1)-ABS($C45)*'01_Assumptions'!$E$31*(1+'01_Assumptions'!$E$34)^(1-1)-'01_Assumptions'!$E$32*(1+'01_Assumptions'!$E$34)^(1-1)-$A45*'01_Assumptions'!$E$11*'01_Assumptions'!$E$12*'01_Assumptions'!$E$24*'01_Assumptions'!$E$33*(1+'01_Assumptions'!$E$34)^(1-1))-ABS($C45)/'01_Assumptions'!$E$9)*'01_Assumptions'!$E$8)</x:f>
        <x:v>1385754.69</x:v>
      </x:c>
      <x:c r="E45" s="163" t="n">
        <x:f>($A45*'01_Assumptions'!$E$11*'01_Assumptions'!$E$12*'01_Assumptions'!$E$13*$B45*(1+'01_Assumptions'!$E$16)^(2-1)*'01_Assumptions'!$E$14*'01_Assumptions'!$E$15+'01_Assumptions'!$E$36*(1+'01_Assumptions'!$E$34)^(2-1)-ABS($C45)*'01_Assumptions'!$E$31*(1+'01_Assumptions'!$E$34)^(2-1)-'01_Assumptions'!$E$32*(1+'01_Assumptions'!$E$34)^(2-1)-$A45*'01_Assumptions'!$E$11*'01_Assumptions'!$E$12*'01_Assumptions'!$E$24*'01_Assumptions'!$E$33*(1+'01_Assumptions'!$E$34)^(2-1))-MAX(0,(($A45*'01_Assumptions'!$E$11*'01_Assumptions'!$E$12*'01_Assumptions'!$E$13*$B45*(1+'01_Assumptions'!$E$16)^(2-1)*'01_Assumptions'!$E$14*'01_Assumptions'!$E$15+'01_Assumptions'!$E$36*(1+'01_Assumptions'!$E$34)^(2-1)-ABS($C45)*'01_Assumptions'!$E$31*(1+'01_Assumptions'!$E$34)^(2-1)-'01_Assumptions'!$E$32*(1+'01_Assumptions'!$E$34)^(2-1)-$A45*'01_Assumptions'!$E$11*'01_Assumptions'!$E$12*'01_Assumptions'!$E$24*'01_Assumptions'!$E$33*(1+'01_Assumptions'!$E$34)^(2-1))-ABS($C45)/'01_Assumptions'!$E$9)*'01_Assumptions'!$E$8)</x:f>
        <x:v>1426144.1202</x:v>
      </x:c>
      <x:c r="F45" s="163" t="n">
        <x:f>($A45*'01_Assumptions'!$E$11*'01_Assumptions'!$E$12*'01_Assumptions'!$E$13*$B45*(1+'01_Assumptions'!$E$16)^(3-1)*'01_Assumptions'!$E$14*'01_Assumptions'!$E$15+'01_Assumptions'!$E$36*(1+'01_Assumptions'!$E$34)^(3-1)-ABS($C45)*'01_Assumptions'!$E$31*(1+'01_Assumptions'!$E$34)^(3-1)-'01_Assumptions'!$E$32*(1+'01_Assumptions'!$E$34)^(3-1)-$A45*'01_Assumptions'!$E$11*'01_Assumptions'!$E$12*'01_Assumptions'!$E$24*'01_Assumptions'!$E$33*(1+'01_Assumptions'!$E$34)^(3-1))-MAX(0,(($A45*'01_Assumptions'!$E$11*'01_Assumptions'!$E$12*'01_Assumptions'!$E$13*$B45*(1+'01_Assumptions'!$E$16)^(3-1)*'01_Assumptions'!$E$14*'01_Assumptions'!$E$15+'01_Assumptions'!$E$36*(1+'01_Assumptions'!$E$34)^(3-1)-ABS($C45)*'01_Assumptions'!$E$31*(1+'01_Assumptions'!$E$34)^(3-1)-'01_Assumptions'!$E$32*(1+'01_Assumptions'!$E$34)^(3-1)-$A45*'01_Assumptions'!$E$11*'01_Assumptions'!$E$12*'01_Assumptions'!$E$24*'01_Assumptions'!$E$33*(1+'01_Assumptions'!$E$34)^(3-1))-ABS($C45)/'01_Assumptions'!$E$9)*'01_Assumptions'!$E$8)</x:f>
        <x:v>1467764.3964960002</x:v>
      </x:c>
      <x:c r="G45" s="163" t="n">
        <x:f>($A45*'01_Assumptions'!$E$11*'01_Assumptions'!$E$12*'01_Assumptions'!$E$13*$B45*(1+'01_Assumptions'!$E$16)^(4-1)*'01_Assumptions'!$E$14*'01_Assumptions'!$E$15+'01_Assumptions'!$E$36*(1+'01_Assumptions'!$E$34)^(4-1)-ABS($C45)*'01_Assumptions'!$E$31*(1+'01_Assumptions'!$E$34)^(4-1)-'01_Assumptions'!$E$32*(1+'01_Assumptions'!$E$34)^(4-1)-$A45*'01_Assumptions'!$E$11*'01_Assumptions'!$E$12*'01_Assumptions'!$E$24*'01_Assumptions'!$E$33*(1+'01_Assumptions'!$E$34)^(4-1))-MAX(0,(($A45*'01_Assumptions'!$E$11*'01_Assumptions'!$E$12*'01_Assumptions'!$E$13*$B45*(1+'01_Assumptions'!$E$16)^(4-1)*'01_Assumptions'!$E$14*'01_Assumptions'!$E$15+'01_Assumptions'!$E$36*(1+'01_Assumptions'!$E$34)^(4-1)-ABS($C45)*'01_Assumptions'!$E$31*(1+'01_Assumptions'!$E$34)^(4-1)-'01_Assumptions'!$E$32*(1+'01_Assumptions'!$E$34)^(4-1)-$A45*'01_Assumptions'!$E$11*'01_Assumptions'!$E$12*'01_Assumptions'!$E$24*'01_Assumptions'!$E$33*(1+'01_Assumptions'!$E$34)^(4-1))-ABS($C45)/'01_Assumptions'!$E$9)*'01_Assumptions'!$E$8)</x:f>
        <x:v>1510652.82753468</x:v>
      </x:c>
      <x:c r="H45" s="163" t="n">
        <x:f>($A45*'01_Assumptions'!$E$11*'01_Assumptions'!$E$12*'01_Assumptions'!$E$13*$B45*(1+'01_Assumptions'!$E$16)^(5-1)*'01_Assumptions'!$E$14*'01_Assumptions'!$E$15+'01_Assumptions'!$E$36*(1+'01_Assumptions'!$E$34)^(5-1)-ABS($C45)*'01_Assumptions'!$E$31*(1+'01_Assumptions'!$E$34)^(5-1)-'01_Assumptions'!$E$32*(1+'01_Assumptions'!$E$34)^(5-1)-$A45*'01_Assumptions'!$E$11*'01_Assumptions'!$E$12*'01_Assumptions'!$E$24*'01_Assumptions'!$E$33*(1+'01_Assumptions'!$E$34)^(5-1))-MAX(0,(($A45*'01_Assumptions'!$E$11*'01_Assumptions'!$E$12*'01_Assumptions'!$E$13*$B45*(1+'01_Assumptions'!$E$16)^(5-1)*'01_Assumptions'!$E$14*'01_Assumptions'!$E$15+'01_Assumptions'!$E$36*(1+'01_Assumptions'!$E$34)^(5-1)-ABS($C45)*'01_Assumptions'!$E$31*(1+'01_Assumptions'!$E$34)^(5-1)-'01_Assumptions'!$E$32*(1+'01_Assumptions'!$E$34)^(5-1)-$A45*'01_Assumptions'!$E$11*'01_Assumptions'!$E$12*'01_Assumptions'!$E$24*'01_Assumptions'!$E$33*(1+'01_Assumptions'!$E$34)^(5-1))-ABS($C45)/'01_Assumptions'!$E$9)*'01_Assumptions'!$E$8)+ABS($C45)*'01_Assumptions'!$E$35*(1-'01_Assumptions'!$E$8)</x:f>
        <x:v>1623628.0988873967</x:v>
      </x:c>
      <x:c r="I45" s="163" t="n">
        <x:f>C45+NPV('01_Assumptions'!$E$7,D45:H45)</x:f>
        <x:v>4153842.539981054</x:v>
      </x:c>
      <x:c r="J45" s="287"/>
    </x:row>
  </x:sheetData>
  <x:mergeCells>
    <x:mergeCell ref="A1:J1"/>
    <x:mergeCell ref="A2:J2"/>
    <x:mergeCell ref="A4:F4"/>
    <x:mergeCell ref="A12:F12"/>
    <x:mergeCell ref="B15:F15"/>
    <x:mergeCell ref="A17:F17"/>
  </x:mergeCells>
  <x:conditionalFormatting sqref="B6:F10">
    <x:cfRule type="cellIs" dxfId="6" priority="1" operator="lessThan">
      <x:formula>0</x:formula>
    </x:cfRule>
    <x:cfRule type="cellIs" dxfId="7" priority="2" operator="greaterThanOrEqual">
      <x:formula>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6" hidden="0" customWidth="1"/>
    <x:col min="4" max="4" width="18" hidden="0" customWidth="1"/>
    <x:col min="5" max="5" width="38" hidden="0" customWidth="1"/>
    <x:col min="6" max="6" width="4" hidden="0" customWidth="1"/>
    <x:col min="7" max="7" width="3"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2" customHeight="1">
      <x:c r="A1" s="4" t="str">
        <x:v>05 | Executive Decision Dashboard</x:v>
      </x:c>
      <x:c r="B1" s="4" t="str">
        <x:v>05 | Executive Decision Dashboard</x:v>
      </x:c>
      <x:c r="C1" s="4" t="str">
        <x:v>05 | Executive Decision Dashboard</x:v>
      </x:c>
      <x:c r="D1" s="4" t="str">
        <x:v>05 | Executive Decision Dashboard</x:v>
      </x:c>
      <x:c r="E1" s="4" t="str">
        <x:v>05 | Executive Decision Dashboard</x:v>
      </x:c>
      <x:c r="F1" s="4" t="str">
        <x:v>05 | Executive Decision Dashboard</x:v>
      </x:c>
      <x:c r="G1" s="4" t="str">
        <x:v>05 | Executive Decision Dashboard</x:v>
      </x:c>
      <x:c r="H1" s="4" t="str">
        <x:v>05 | Executive Decision Dashboard</x:v>
      </x:c>
      <x:c r="I1" s="4" t="str">
        <x:v>05 | Executive Decision Dashboard</x:v>
      </x:c>
      <x:c r="J1" s="4" t="str">
        <x:v>05 | Executive Decision Dashboard</x:v>
      </x:c>
      <x:c r="K1" s="4" t="str">
        <x:v>05 | Executive Decision Dashboard</x:v>
      </x:c>
      <x:c r="L1" s="4" t="str">
        <x:v>05 | Executive Decision Dashboard</x:v>
      </x:c>
      <x:c r="M1" s="4" t="str">
        <x:v>05 | Executive Decision Dashboard</x:v>
      </x:c>
      <x:c r="N1" s="4" t="str">
        <x:v>05 | Executive Decision Dashboard</x:v>
      </x:c>
      <x:c r="O1" s="4" t="str">
        <x:v>05 | Executive Decision Dashboard</x:v>
      </x:c>
    </x:row>
    <x:row r="2" ht="28" customHeight="1">
      <x:c r="A2" s="9" t="str">
        <x:v>Selected-scenario output for a hypothetical Swedish SME | Decision lens: invest now, run a pilot, or retain manual palletizing.</x:v>
      </x:c>
      <x:c r="B2" s="9" t="str">
        <x:v>Selected-scenario output for a hypothetical Swedish SME | Decision lens: invest now, run a pilot, or retain manual palletizing.</x:v>
      </x:c>
      <x:c r="C2" s="9" t="str">
        <x:v>Selected-scenario output for a hypothetical Swedish SME | Decision lens: invest now, run a pilot, or retain manual palletizing.</x:v>
      </x:c>
      <x:c r="D2" s="9" t="str">
        <x:v>Selected-scenario output for a hypothetical Swedish SME | Decision lens: invest now, run a pilot, or retain manual palletizing.</x:v>
      </x:c>
      <x:c r="E2" s="9" t="str">
        <x:v>Selected-scenario output for a hypothetical Swedish SME | Decision lens: invest now, run a pilot, or retain manual palletizing.</x:v>
      </x:c>
      <x:c r="F2" s="9" t="str">
        <x:v>Selected-scenario output for a hypothetical Swedish SME | Decision lens: invest now, run a pilot, or retain manual palletizing.</x:v>
      </x:c>
      <x:c r="G2" s="9" t="str">
        <x:v>Selected-scenario output for a hypothetical Swedish SME | Decision lens: invest now, run a pilot, or retain manual palletizing.</x:v>
      </x:c>
      <x:c r="H2" s="9" t="str">
        <x:v>Selected-scenario output for a hypothetical Swedish SME | Decision lens: invest now, run a pilot, or retain manual palletizing.</x:v>
      </x:c>
      <x:c r="I2" s="9" t="str">
        <x:v>Selected-scenario output for a hypothetical Swedish SME | Decision lens: invest now, run a pilot, or retain manual palletizing.</x:v>
      </x:c>
      <x:c r="J2" s="9" t="str">
        <x:v>Selected-scenario output for a hypothetical Swedish SME | Decision lens: invest now, run a pilot, or retain manual palletizing.</x:v>
      </x:c>
      <x:c r="K2" s="9" t="str">
        <x:v>Selected-scenario output for a hypothetical Swedish SME | Decision lens: invest now, run a pilot, or retain manual palletizing.</x:v>
      </x:c>
      <x:c r="L2" s="9" t="str">
        <x:v>Selected-scenario output for a hypothetical Swedish SME | Decision lens: invest now, run a pilot, or retain manual palletizing.</x:v>
      </x:c>
      <x:c r="M2" s="9" t="str">
        <x:v>Selected-scenario output for a hypothetical Swedish SME | Decision lens: invest now, run a pilot, or retain manual palletizing.</x:v>
      </x:c>
      <x:c r="N2" s="9" t="str">
        <x:v>Selected-scenario output for a hypothetical Swedish SME | Decision lens: invest now, run a pilot, or retain manual palletizing.</x:v>
      </x:c>
      <x:c r="O2" s="9" t="str">
        <x:v>Selected-scenario output for a hypothetical Swedish SME | Decision lens: invest now, run a pilot, or retain manual palletizing.</x:v>
      </x:c>
    </x:row>
    <x:row r="3">
      <x:c r="A3" s="314" t="str">
        <x:v>Selected scenario</x:v>
      </x:c>
      <x:c r="B3" s="315" t="str">
        <x:f>'01_Assumptions'!$B$3</x:f>
        <x:v>Base Case</x:v>
      </x:c>
      <x:c r="C3" s="287"/>
      <x:c r="D3" s="287"/>
      <x:c r="E3" s="287"/>
      <x:c r="F3" s="287"/>
      <x:c r="G3" s="287"/>
      <x:c r="H3" s="287"/>
      <x:c r="I3" s="287"/>
      <x:c r="J3" s="287"/>
      <x:c r="K3" s="287"/>
      <x:c r="L3" s="287"/>
      <x:c r="M3" s="314" t="str">
        <x:v>Model status</x:v>
      </x:c>
      <x:c r="N3" s="310" t="str">
        <x:f>'07_QA'!$B$3</x:f>
        <x:v>PASS</x:v>
      </x:c>
      <x:c r="O3" s="287"/>
    </x:row>
    <x:row r="4">
      <x:c r="A4" s="287"/>
      <x:c r="B4" s="287"/>
      <x:c r="C4" s="287"/>
      <x:c r="D4" s="287"/>
      <x:c r="E4" s="287"/>
      <x:c r="F4" s="287"/>
      <x:c r="G4" s="287"/>
      <x:c r="H4" s="287"/>
      <x:c r="I4" s="287"/>
      <x:c r="J4" s="287"/>
      <x:c r="K4" s="287"/>
      <x:c r="L4" s="287"/>
      <x:c r="M4" s="287"/>
      <x:c r="N4" s="287"/>
      <x:c r="O4" s="287"/>
    </x:row>
    <x:row r="5">
      <x:c r="A5" s="320" t="str">
        <x:v>NPV</x:v>
      </x:c>
      <x:c r="B5" s="320" t="str">
        <x:v>NPV</x:v>
      </x:c>
      <x:c r="C5" s="320" t="str">
        <x:v>NPV</x:v>
      </x:c>
      <x:c r="D5" s="320" t="str">
        <x:v>IRR</x:v>
      </x:c>
      <x:c r="E5" s="320" t="str">
        <x:v>IRR</x:v>
      </x:c>
      <x:c r="F5" s="320" t="str">
        <x:v>IRR</x:v>
      </x:c>
      <x:c r="G5" s="320" t="str">
        <x:v>PAYBACK</x:v>
      </x:c>
      <x:c r="H5" s="320" t="str">
        <x:v>PAYBACK</x:v>
      </x:c>
      <x:c r="I5" s="320" t="str">
        <x:v>PAYBACK</x:v>
      </x:c>
      <x:c r="J5" s="320" t="str">
        <x:v>INSTALLED CAPEX</x:v>
      </x:c>
      <x:c r="K5" s="320" t="str">
        <x:v>INSTALLED CAPEX</x:v>
      </x:c>
      <x:c r="L5" s="320" t="str">
        <x:v>INSTALLED CAPEX</x:v>
      </x:c>
      <x:c r="M5" s="320" t="str">
        <x:v>5-YEAR ROI</x:v>
      </x:c>
      <x:c r="N5" s="320" t="str">
        <x:v>5-YEAR ROI</x:v>
      </x:c>
      <x:c r="O5" s="320" t="str">
        <x:v>5-YEAR ROI</x:v>
      </x:c>
    </x:row>
    <x:row r="6">
      <x:c r="A6" s="205" t="n">
        <x:f>'02_Cash_Flow'!$K$9</x:f>
        <x:v>1453054.562087467</x:v>
      </x:c>
      <x:c r="B6" s="206"/>
      <x:c r="C6" s="207"/>
      <x:c r="D6" s="225" t="n">
        <x:f>'02_Cash_Flow'!$K$10</x:f>
        <x:v>0.3522395558208255</x:v>
      </x:c>
      <x:c r="E6" s="226"/>
      <x:c r="F6" s="227"/>
      <x:c r="G6" s="243" t="n">
        <x:f>'02_Cash_Flow'!$K$11</x:f>
        <x:v>2.2784548996670804</x:v>
      </x:c>
      <x:c r="H6" s="244"/>
      <x:c r="I6" s="245"/>
      <x:c r="J6" s="205" t="n">
        <x:f>'02_Cash_Flow'!$K$13</x:f>
        <x:v>1732500</x:v>
      </x:c>
      <x:c r="K6" s="206"/>
      <x:c r="L6" s="207"/>
      <x:c r="M6" s="225" t="n">
        <x:f>'02_Cash_Flow'!$K$12</x:f>
        <x:v>1.318260585438187</x:v>
      </x:c>
      <x:c r="N6" s="226"/>
      <x:c r="O6" s="227"/>
    </x:row>
    <x:row r="7">
      <x:c r="A7" s="208"/>
      <x:c r="B7" s="209"/>
      <x:c r="C7" s="210"/>
      <x:c r="D7" s="228"/>
      <x:c r="E7" s="229"/>
      <x:c r="F7" s="230"/>
      <x:c r="G7" s="246"/>
      <x:c r="H7" s="247"/>
      <x:c r="I7" s="248"/>
      <x:c r="J7" s="208"/>
      <x:c r="K7" s="209"/>
      <x:c r="L7" s="210"/>
      <x:c r="M7" s="228"/>
      <x:c r="N7" s="229"/>
      <x:c r="O7" s="230"/>
    </x:row>
    <x:row r="8">
      <x:c r="A8" s="321" t="str">
        <x:v>Value after required return</x:v>
      </x:c>
      <x:c r="B8" s="321" t="str">
        <x:v>Value after required return</x:v>
      </x:c>
      <x:c r="C8" s="321" t="str">
        <x:v>Value after required return</x:v>
      </x:c>
      <x:c r="D8" s="321" t="str">
        <x:v>Return on invested cash flow</x:v>
      </x:c>
      <x:c r="E8" s="321" t="str">
        <x:v>Return on invested cash flow</x:v>
      </x:c>
      <x:c r="F8" s="321" t="str">
        <x:v>Return on invested cash flow</x:v>
      </x:c>
      <x:c r="G8" s="321" t="str">
        <x:v>Years, undiscounted</x:v>
      </x:c>
      <x:c r="H8" s="321" t="str">
        <x:v>Years, undiscounted</x:v>
      </x:c>
      <x:c r="I8" s="321" t="str">
        <x:v>Years, undiscounted</x:v>
      </x:c>
      <x:c r="J8" s="321" t="str">
        <x:v>Including contingency</x:v>
      </x:c>
      <x:c r="K8" s="321" t="str">
        <x:v>Including contingency</x:v>
      </x:c>
      <x:c r="L8" s="321" t="str">
        <x:v>Including contingency</x:v>
      </x:c>
      <x:c r="M8" s="321" t="str">
        <x:v>Net cash gain / capex</x:v>
      </x:c>
      <x:c r="N8" s="321" t="str">
        <x:v>Net cash gain / capex</x:v>
      </x:c>
      <x:c r="O8" s="321" t="str">
        <x:v>Net cash gain / capex</x:v>
      </x:c>
    </x:row>
    <x:row r="9">
      <x:c r="A9" s="287"/>
      <x:c r="B9" s="287"/>
      <x:c r="C9" s="287"/>
      <x:c r="D9" s="287"/>
      <x:c r="E9" s="287"/>
      <x:c r="F9" s="287"/>
      <x:c r="G9" s="287"/>
      <x:c r="H9" s="287"/>
      <x:c r="I9" s="287"/>
      <x:c r="J9" s="287"/>
      <x:c r="K9" s="287"/>
      <x:c r="L9" s="287"/>
      <x:c r="M9" s="287"/>
      <x:c r="N9" s="287"/>
      <x:c r="O9" s="287"/>
    </x:row>
    <x:row r="10" ht="22" customHeight="1">
      <x:c r="A10" s="13" t="str">
        <x:v>RECOMMENDATION</x:v>
      </x:c>
      <x:c r="B10" s="13" t="str">
        <x:v>RECOMMENDATION</x:v>
      </x:c>
      <x:c r="C10" s="13" t="str">
        <x:v>RECOMMENDATION</x:v>
      </x:c>
      <x:c r="D10" s="13" t="str">
        <x:v>RECOMMENDATION</x:v>
      </x:c>
      <x:c r="E10" s="13" t="str">
        <x:v>RECOMMENDATION</x:v>
      </x:c>
      <x:c r="F10" s="13" t="str">
        <x:v>RECOMMENDATION</x:v>
      </x:c>
      <x:c r="G10" s="13" t="str">
        <x:v>RECOMMENDATION</x:v>
      </x:c>
      <x:c r="H10" s="13" t="str">
        <x:v>RECOMMENDATION</x:v>
      </x:c>
      <x:c r="I10" s="13" t="str">
        <x:v>RECOMMENDATION</x:v>
      </x:c>
      <x:c r="J10" s="13" t="str">
        <x:v>RECOMMENDATION</x:v>
      </x:c>
      <x:c r="K10" s="13" t="str">
        <x:v>RECOMMENDATION</x:v>
      </x:c>
      <x:c r="L10" s="13" t="str">
        <x:v>RECOMMENDATION</x:v>
      </x:c>
      <x:c r="M10" s="13" t="str">
        <x:v>RECOMMENDATION</x:v>
      </x:c>
      <x:c r="N10" s="13" t="str">
        <x:v>RECOMMENDATION</x:v>
      </x:c>
      <x:c r="O10" s="13" t="str">
        <x:v>RECOMMENDATION</x:v>
      </x:c>
    </x:row>
    <x:row r="11">
      <x:c r="A11" s="251" t="str">
        <x:f>'02_Cash_Flow'!$K$18</x:f>
        <x:v>INVEST NOW</x:v>
      </x:c>
      <x:c r="B11" s="251"/>
      <x:c r="C11" s="251"/>
      <x:c r="D11" s="251"/>
      <x:c r="E11" s="251"/>
      <x:c r="F11" s="251"/>
      <x:c r="G11" s="251"/>
      <x:c r="H11" s="251"/>
      <x:c r="I11" s="251"/>
      <x:c r="J11" s="251"/>
      <x:c r="K11" s="251"/>
      <x:c r="L11" s="251"/>
      <x:c r="M11" s="251"/>
      <x:c r="N11" s="251"/>
      <x:c r="O11" s="251"/>
    </x:row>
    <x:row r="12">
      <x:c r="A12" s="251"/>
      <x:c r="B12" s="251"/>
      <x:c r="C12" s="251"/>
      <x:c r="D12" s="251"/>
      <x:c r="E12" s="251"/>
      <x:c r="F12" s="251"/>
      <x:c r="G12" s="251"/>
      <x:c r="H12" s="251"/>
      <x:c r="I12" s="251"/>
      <x:c r="J12" s="251"/>
      <x:c r="K12" s="251"/>
      <x:c r="L12" s="251"/>
      <x:c r="M12" s="251"/>
      <x:c r="N12" s="251"/>
      <x:c r="O12" s="251"/>
    </x:row>
    <x:row r="13">
      <x:c r="A13" s="287"/>
      <x:c r="B13" s="287"/>
      <x:c r="C13" s="287"/>
      <x:c r="D13" s="287"/>
      <x:c r="E13" s="287"/>
      <x:c r="F13" s="287"/>
      <x:c r="G13" s="287"/>
      <x:c r="H13" s="287"/>
      <x:c r="I13" s="287"/>
      <x:c r="J13" s="287"/>
      <x:c r="K13" s="287"/>
      <x:c r="L13" s="287"/>
      <x:c r="M13" s="287"/>
      <x:c r="N13" s="287"/>
      <x:c r="O13" s="287"/>
    </x:row>
    <x:row r="14" ht="22" customHeight="1">
      <x:c r="A14" s="13" t="str">
        <x:v>DECISION CRITERIA</x:v>
      </x:c>
      <x:c r="B14" s="13" t="str">
        <x:v>DECISION CRITERIA</x:v>
      </x:c>
      <x:c r="C14" s="13" t="str">
        <x:v>DECISION CRITERIA</x:v>
      </x:c>
      <x:c r="D14" s="13" t="str">
        <x:v>DECISION CRITERIA</x:v>
      </x:c>
      <x:c r="E14" s="13" t="str">
        <x:v>DECISION CRITERIA</x:v>
      </x:c>
      <x:c r="F14" s="13" t="str">
        <x:v>DECISION CRITERIA</x:v>
      </x:c>
      <x:c r="G14" s="287"/>
      <x:c r="H14" s="287"/>
      <x:c r="I14" s="287"/>
      <x:c r="J14" s="287"/>
      <x:c r="K14" s="287"/>
      <x:c r="L14" s="287"/>
      <x:c r="M14" s="287"/>
      <x:c r="N14" s="287"/>
      <x:c r="O14" s="287"/>
    </x:row>
    <x:row r="15" ht="28" customHeight="1">
      <x:c r="A15" s="46" t="str">
        <x:v>Criterion</x:v>
      </x:c>
      <x:c r="B15" s="46" t="str">
        <x:v>Actual</x:v>
      </x:c>
      <x:c r="C15" s="46" t="str">
        <x:v>Threshold</x:v>
      </x:c>
      <x:c r="D15" s="46" t="str">
        <x:v>Status</x:v>
      </x:c>
      <x:c r="E15" s="46" t="str">
        <x:v>Why it matters</x:v>
      </x:c>
      <x:c r="F15" s="287"/>
      <x:c r="G15" s="287"/>
      <x:c r="H15" s="287"/>
      <x:c r="I15" s="287"/>
      <x:c r="J15" s="287"/>
      <x:c r="K15" s="287"/>
      <x:c r="L15" s="287"/>
      <x:c r="M15" s="287"/>
      <x:c r="N15" s="287"/>
      <x:c r="O15" s="287"/>
    </x:row>
    <x:row r="16">
      <x:c r="A16" s="51" t="str">
        <x:v>NPV</x:v>
      </x:c>
      <x:c r="B16" s="125" t="n">
        <x:f>'02_Cash_Flow'!$K$9</x:f>
        <x:v>1453054.562087467</x:v>
      </x:c>
      <x:c r="C16" s="125" t="n">
        <x:f>0</x:f>
        <x:v>0</x:v>
      </x:c>
      <x:c r="D16" s="51" t="str">
        <x:f>IF(B16&gt;0,"PASS","FAIL")</x:f>
        <x:v>PASS</x:v>
      </x:c>
      <x:c r="E16" s="51" t="str">
        <x:v>Creates value at the selected hurdle rate</x:v>
      </x:c>
      <x:c r="F16" s="287"/>
      <x:c r="G16" s="287"/>
      <x:c r="H16" s="287"/>
      <x:c r="I16" s="287"/>
      <x:c r="J16" s="287"/>
      <x:c r="K16" s="287"/>
      <x:c r="L16" s="287"/>
      <x:c r="M16" s="287"/>
      <x:c r="N16" s="287"/>
      <x:c r="O16" s="287"/>
    </x:row>
    <x:row r="17">
      <x:c r="A17" s="52" t="str">
        <x:v>IRR</x:v>
      </x:c>
      <x:c r="B17" s="252" t="n">
        <x:f>'02_Cash_Flow'!$K$10</x:f>
        <x:v>0.3522395558208255</x:v>
      </x:c>
      <x:c r="C17" s="252" t="n">
        <x:f>'01_Assumptions'!$J$7</x:f>
        <x:v>0.08</x:v>
      </x:c>
      <x:c r="D17" s="52" t="str">
        <x:f>IF(IFERROR(B17&gt;C17,FALSE),"PASS","FAIL")</x:f>
        <x:v>PASS</x:v>
      </x:c>
      <x:c r="E17" s="52" t="str">
        <x:v>Return exceeds the required return</x:v>
      </x:c>
      <x:c r="F17" s="287"/>
      <x:c r="G17" s="287"/>
      <x:c r="H17" s="287"/>
      <x:c r="I17" s="287"/>
      <x:c r="J17" s="287"/>
      <x:c r="K17" s="287"/>
      <x:c r="L17" s="287"/>
      <x:c r="M17" s="287"/>
      <x:c r="N17" s="287"/>
      <x:c r="O17" s="287"/>
    </x:row>
    <x:row r="18">
      <x:c r="A18" s="52" t="str">
        <x:v>Payback</x:v>
      </x:c>
      <x:c r="B18" s="253" t="n">
        <x:f>'02_Cash_Flow'!$K$11</x:f>
        <x:v>2.2784548996670804</x:v>
      </x:c>
      <x:c r="C18" s="253" t="n">
        <x:f>3</x:f>
        <x:v>3</x:v>
      </x:c>
      <x:c r="D18" s="52" t="str">
        <x:f>IF(IFERROR(B18&lt;=C18,FALSE),"PASS","FAIL")</x:f>
        <x:v>PASS</x:v>
      </x:c>
      <x:c r="E18" s="52" t="str">
        <x:v>Capital is recovered within three years</x:v>
      </x:c>
      <x:c r="F18" s="287"/>
      <x:c r="G18" s="287"/>
      <x:c r="H18" s="287"/>
      <x:c r="I18" s="287"/>
      <x:c r="J18" s="287"/>
      <x:c r="K18" s="287"/>
      <x:c r="L18" s="287"/>
      <x:c r="M18" s="287"/>
      <x:c r="N18" s="287"/>
      <x:c r="O18" s="287"/>
    </x:row>
    <x:row r="19">
      <x:c r="A19" s="52" t="str">
        <x:v>Payload headroom</x:v>
      </x:c>
      <x:c r="B19" s="133" t="n">
        <x:f>'02_Cash_Flow'!$K$16</x:f>
        <x:v>3</x:v>
      </x:c>
      <x:c r="C19" s="133" t="n">
        <x:f>0</x:f>
        <x:v>0</x:v>
      </x:c>
      <x:c r="D19" s="52" t="str">
        <x:f>IF(B19&gt;=C19,"PASS","FAIL")</x:f>
        <x:v>PASS</x:v>
      </x:c>
      <x:c r="E19" s="52" t="str">
        <x:v>Carton + tooling fit within nominal payload</x:v>
      </x:c>
      <x:c r="F19" s="287"/>
      <x:c r="G19" s="287"/>
      <x:c r="H19" s="287"/>
      <x:c r="I19" s="287"/>
      <x:c r="J19" s="287"/>
      <x:c r="K19" s="287"/>
      <x:c r="L19" s="287"/>
      <x:c r="M19" s="287"/>
      <x:c r="N19" s="287"/>
      <x:c r="O19" s="287"/>
    </x:row>
    <x:row r="20">
      <x:c r="A20" s="52" t="str">
        <x:v>Throughput headroom</x:v>
      </x:c>
      <x:c r="B20" s="252" t="n">
        <x:f>'02_Cash_Flow'!$K$17</x:f>
        <x:v>0.13636363636363646</x:v>
      </x:c>
      <x:c r="C20" s="252" t="n">
        <x:f>0</x:f>
        <x:v>0</x:v>
      </x:c>
      <x:c r="D20" s="52" t="str">
        <x:f>IF(B20&gt;=C20,"PASS","FAIL")</x:f>
        <x:v>PASS</x:v>
      </x:c>
      <x:c r="E20" s="52" t="str">
        <x:v>Designed rate meets current demand</x:v>
      </x:c>
      <x:c r="F20" s="287"/>
      <x:c r="G20" s="287"/>
      <x:c r="H20" s="287"/>
      <x:c r="I20" s="287"/>
      <x:c r="J20" s="287"/>
      <x:c r="K20" s="287"/>
      <x:c r="L20" s="287"/>
      <x:c r="M20" s="287"/>
      <x:c r="N20" s="287"/>
      <x:c r="O20" s="287"/>
    </x:row>
    <x:row r="21">
      <x:c r="A21" s="53" t="str">
        <x:v>Model checks</x:v>
      </x:c>
      <x:c r="B21" s="53" t="str">
        <x:f>'07_QA'!$B$3</x:f>
        <x:v>PASS</x:v>
      </x:c>
      <x:c r="C21" s="53" t="str">
        <x:f>"PASS"</x:f>
        <x:v>PASS</x:v>
      </x:c>
      <x:c r="D21" s="53" t="str">
        <x:f>IF(B21=C21,"PASS","FAIL")</x:f>
        <x:v>PASS</x:v>
      </x:c>
      <x:c r="E21" s="53" t="str">
        <x:v>All model-control checks pass</x:v>
      </x:c>
      <x:c r="F21" s="287"/>
      <x:c r="G21" s="287"/>
      <x:c r="H21" s="287"/>
      <x:c r="I21" s="287"/>
      <x:c r="J21" s="287"/>
      <x:c r="K21" s="287"/>
      <x:c r="L21" s="287"/>
      <x:c r="M21" s="287"/>
      <x:c r="N21" s="287"/>
      <x:c r="O21" s="287"/>
    </x:row>
    <x:row r="22">
      <x:c r="A22" s="287"/>
      <x:c r="B22" s="287"/>
      <x:c r="C22" s="287"/>
      <x:c r="D22" s="287"/>
      <x:c r="E22" s="287"/>
      <x:c r="F22" s="287"/>
      <x:c r="G22" s="287"/>
      <x:c r="H22" s="287"/>
      <x:c r="I22" s="287"/>
      <x:c r="J22" s="287"/>
      <x:c r="K22" s="287"/>
      <x:c r="L22" s="287"/>
      <x:c r="M22" s="287"/>
      <x:c r="N22" s="287"/>
      <x:c r="O22" s="287"/>
    </x:row>
    <x:row r="23" ht="22" customHeight="1">
      <x:c r="A23" s="13" t="str">
        <x:v>SO WHAT?</x:v>
      </x:c>
      <x:c r="B23" s="13" t="str">
        <x:v>SO WHAT?</x:v>
      </x:c>
      <x:c r="C23" s="13" t="str">
        <x:v>SO WHAT?</x:v>
      </x:c>
      <x:c r="D23" s="13" t="str">
        <x:v>SO WHAT?</x:v>
      </x:c>
      <x:c r="E23" s="13" t="str">
        <x:v>SO WHAT?</x:v>
      </x:c>
      <x:c r="F23" s="13" t="str">
        <x:v>SO WHAT?</x:v>
      </x:c>
      <x:c r="G23" s="287"/>
      <x:c r="H23" s="287"/>
      <x:c r="I23" s="287"/>
      <x:c r="J23" s="287"/>
      <x:c r="K23" s="287"/>
      <x:c r="L23" s="287"/>
      <x:c r="M23" s="287"/>
      <x:c r="N23" s="287"/>
      <x:c r="O23" s="287"/>
    </x:row>
    <x:row r="24" ht="82" customHeight="1">
      <x:c r="A24" s="256" t="str">
        <x:v>The model should be used as a screening tool. A positive base-case NPV supports moving to a supplier quote and site pilot, but the real decision depends on proving the labor-release rate, cycle time, uptime and installed cost. The sensitivity sheet shows whether the opportunity survives less favorable operating conditions.</x:v>
      </x:c>
      <x:c r="B24" s="256" t="str">
        <x:v>The model should be used as a screening tool. A positive base-case NPV supports moving to a supplier quote and site pilot, but the real decision depends on proving the labor-release rate, cycle time, uptime and installed cost. The sensitivity sheet shows whether the opportunity survives less favorable operating conditions.</x:v>
      </x:c>
      <x:c r="C24" s="256" t="str">
        <x:v>The model should be used as a screening tool. A positive base-case NPV supports moving to a supplier quote and site pilot, but the real decision depends on proving the labor-release rate, cycle time, uptime and installed cost. The sensitivity sheet shows whether the opportunity survives less favorable operating conditions.</x:v>
      </x:c>
      <x:c r="D24" s="256" t="str">
        <x:v>The model should be used as a screening tool. A positive base-case NPV supports moving to a supplier quote and site pilot, but the real decision depends on proving the labor-release rate, cycle time, uptime and installed cost. The sensitivity sheet shows whether the opportunity survives less favorable operating conditions.</x:v>
      </x:c>
      <x:c r="E24" s="256" t="str">
        <x:v>The model should be used as a screening tool. A positive base-case NPV supports moving to a supplier quote and site pilot, but the real decision depends on proving the labor-release rate, cycle time, uptime and installed cost. The sensitivity sheet shows whether the opportunity survives less favorable operating conditions.</x:v>
      </x:c>
      <x:c r="F24" s="256" t="str">
        <x:v>The model should be used as a screening tool. A positive base-case NPV supports moving to a supplier quote and site pilot, but the real decision depends on proving the labor-release rate, cycle time, uptime and installed cost. The sensitivity sheet shows whether the opportunity survives less favorable operating conditions.</x:v>
      </x:c>
      <x:c r="G24" s="287"/>
      <x:c r="H24" s="287"/>
      <x:c r="I24" s="287"/>
      <x:c r="J24" s="287"/>
      <x:c r="K24" s="287"/>
      <x:c r="L24" s="287"/>
      <x:c r="M24" s="287"/>
      <x:c r="N24" s="287"/>
      <x:c r="O24" s="287"/>
    </x:row>
    <x:row r="25">
      <x:c r="A25" s="287"/>
      <x:c r="B25" s="287"/>
      <x:c r="C25" s="287"/>
      <x:c r="D25" s="287"/>
      <x:c r="E25" s="287"/>
      <x:c r="F25" s="287"/>
      <x:c r="G25" s="287"/>
      <x:c r="H25" s="287"/>
      <x:c r="I25" s="287"/>
      <x:c r="J25" s="287"/>
      <x:c r="K25" s="287"/>
      <x:c r="L25" s="287"/>
      <x:c r="M25" s="287"/>
      <x:c r="N25" s="287"/>
      <x:c r="O25" s="287"/>
    </x:row>
    <x:row r="26">
      <x:c r="A26" s="287"/>
      <x:c r="B26" s="287"/>
      <x:c r="C26" s="287"/>
      <x:c r="D26" s="287"/>
      <x:c r="E26" s="287"/>
      <x:c r="F26" s="287"/>
      <x:c r="G26" s="287"/>
      <x:c r="H26" s="287"/>
      <x:c r="I26" s="287"/>
      <x:c r="J26" s="287"/>
      <x:c r="K26" s="287"/>
      <x:c r="L26" s="287"/>
      <x:c r="M26" s="287"/>
      <x:c r="N26" s="287"/>
      <x:c r="O26" s="287"/>
    </x:row>
    <x:row r="27">
      <x:c r="A27" s="287"/>
      <x:c r="B27" s="287"/>
      <x:c r="C27" s="287"/>
      <x:c r="D27" s="287"/>
      <x:c r="E27" s="287"/>
      <x:c r="F27" s="287"/>
      <x:c r="G27" s="287"/>
      <x:c r="H27" s="287"/>
      <x:c r="I27" s="287"/>
      <x:c r="J27" s="287"/>
      <x:c r="K27" s="287"/>
      <x:c r="L27" s="287"/>
      <x:c r="M27" s="287"/>
      <x:c r="N27" s="287"/>
      <x:c r="O27" s="287"/>
    </x:row>
    <x:row r="28">
      <x:c r="A28" s="287"/>
      <x:c r="B28" s="287"/>
      <x:c r="C28" s="287"/>
      <x:c r="D28" s="287"/>
      <x:c r="E28" s="287"/>
      <x:c r="F28" s="287"/>
      <x:c r="G28" s="287"/>
      <x:c r="H28" s="287"/>
      <x:c r="I28" s="287"/>
      <x:c r="J28" s="287"/>
      <x:c r="K28" s="287"/>
      <x:c r="L28" s="287"/>
      <x:c r="M28" s="287"/>
      <x:c r="N28" s="287"/>
      <x:c r="O28" s="287"/>
    </x:row>
    <x:row r="29">
      <x:c r="A29" s="287"/>
      <x:c r="B29" s="287"/>
      <x:c r="C29" s="287"/>
      <x:c r="D29" s="287"/>
      <x:c r="E29" s="287"/>
      <x:c r="F29" s="287"/>
      <x:c r="G29" s="287"/>
      <x:c r="H29" s="287"/>
      <x:c r="I29" s="287"/>
      <x:c r="J29" s="287"/>
      <x:c r="K29" s="287"/>
      <x:c r="L29" s="287"/>
      <x:c r="M29" s="287"/>
      <x:c r="N29" s="287"/>
      <x:c r="O29" s="287"/>
    </x:row>
    <x:row r="30" ht="22" customHeight="1">
      <x:c r="A30" s="13" t="str">
        <x:v>RECOMMENDED NEXT EVIDENCE</x:v>
      </x:c>
      <x:c r="B30" s="13" t="str">
        <x:v>RECOMMENDED NEXT EVIDENCE</x:v>
      </x:c>
      <x:c r="C30" s="13" t="str">
        <x:v>RECOMMENDED NEXT EVIDENCE</x:v>
      </x:c>
      <x:c r="D30" s="13" t="str">
        <x:v>RECOMMENDED NEXT EVIDENCE</x:v>
      </x:c>
      <x:c r="E30" s="13" t="str">
        <x:v>RECOMMENDED NEXT EVIDENCE</x:v>
      </x:c>
      <x:c r="F30" s="13" t="str">
        <x:v>RECOMMENDED NEXT EVIDENCE</x:v>
      </x:c>
      <x:c r="G30" s="287"/>
      <x:c r="H30" s="287"/>
      <x:c r="I30" s="287"/>
      <x:c r="J30" s="287"/>
      <x:c r="K30" s="287"/>
      <x:c r="L30" s="287"/>
      <x:c r="M30" s="287"/>
      <x:c r="N30" s="287"/>
      <x:c r="O30" s="287"/>
    </x:row>
    <x:row r="31">
      <x:c r="A31" s="306" t="str">
        <x:v>1</x:v>
      </x:c>
      <x:c r="B31" s="307" t="str">
        <x:v>Obtain an installed-cell quote with scope, warranty and service.</x:v>
      </x:c>
      <x:c r="C31" s="307"/>
      <x:c r="D31" s="307"/>
      <x:c r="E31" s="307"/>
      <x:c r="F31" s="307"/>
      <x:c r="G31" s="287"/>
      <x:c r="H31" s="287"/>
      <x:c r="I31" s="287"/>
      <x:c r="J31" s="287"/>
      <x:c r="K31" s="287"/>
      <x:c r="L31" s="287"/>
      <x:c r="M31" s="287"/>
      <x:c r="N31" s="287"/>
      <x:c r="O31" s="287"/>
    </x:row>
    <x:row r="32">
      <x:c r="A32" s="306" t="str">
        <x:v>2</x:v>
      </x:c>
      <x:c r="B32" s="307" t="str">
        <x:v>Run a one-shift time study to validate cartons/hour and addressable labor.</x:v>
      </x:c>
      <x:c r="C32" s="307"/>
      <x:c r="D32" s="307"/>
      <x:c r="E32" s="307"/>
      <x:c r="F32" s="307"/>
      <x:c r="G32" s="287"/>
      <x:c r="H32" s="287"/>
      <x:c r="I32" s="287"/>
      <x:c r="J32" s="287"/>
      <x:c r="K32" s="287"/>
      <x:c r="L32" s="287"/>
      <x:c r="M32" s="287"/>
      <x:c r="N32" s="287"/>
      <x:c r="O32" s="287"/>
    </x:row>
    <x:row r="33">
      <x:c r="A33" s="306" t="str">
        <x:v>3</x:v>
      </x:c>
      <x:c r="B33" s="307" t="str">
        <x:v>Confirm whether redeployed labor creates measurable capacity or true cost avoidance.</x:v>
      </x:c>
      <x:c r="C33" s="307"/>
      <x:c r="D33" s="307"/>
      <x:c r="E33" s="307"/>
      <x:c r="F33" s="307"/>
      <x:c r="G33" s="287"/>
      <x:c r="H33" s="287"/>
      <x:c r="I33" s="287"/>
      <x:c r="J33" s="287"/>
      <x:c r="K33" s="287"/>
      <x:c r="L33" s="287"/>
      <x:c r="M33" s="287"/>
      <x:c r="N33" s="287"/>
      <x:c r="O33" s="287"/>
    </x:row>
    <x:row r="34">
      <x:c r="A34" s="306" t="str">
        <x:v>4</x:v>
      </x:c>
      <x:c r="B34" s="307" t="str">
        <x:v>Pilot uptime, changeovers, stoppages and operator intervention.</x:v>
      </x:c>
      <x:c r="C34" s="307"/>
      <x:c r="D34" s="307"/>
      <x:c r="E34" s="307"/>
      <x:c r="F34" s="307"/>
      <x:c r="G34" s="287"/>
      <x:c r="H34" s="287"/>
      <x:c r="I34" s="287"/>
      <x:c r="J34" s="287"/>
      <x:c r="K34" s="287"/>
      <x:c r="L34" s="287"/>
      <x:c r="M34" s="287"/>
      <x:c r="N34" s="287"/>
      <x:c r="O34" s="287"/>
    </x:row>
    <x:row r="35">
      <x:c r="A35" s="306" t="str">
        <x:v>5</x:v>
      </x:c>
      <x:c r="B35" s="307" t="str">
        <x:v>Update the model and re-run downside sensitivity before approval.</x:v>
      </x:c>
      <x:c r="C35" s="307"/>
      <x:c r="D35" s="307"/>
      <x:c r="E35" s="307"/>
      <x:c r="F35" s="307"/>
      <x:c r="G35" s="287"/>
      <x:c r="H35" s="287"/>
      <x:c r="I35" s="287"/>
      <x:c r="J35" s="287"/>
      <x:c r="K35" s="287"/>
      <x:c r="L35" s="287"/>
      <x:c r="M35" s="287"/>
      <x:c r="N35" s="287"/>
      <x:c r="O35" s="287"/>
    </x:row>
    <x:row r="36">
      <x:c r="A36" s="287"/>
      <x:c r="B36" s="287"/>
      <x:c r="C36" s="287"/>
      <x:c r="D36" s="287"/>
      <x:c r="E36" s="287"/>
      <x:c r="F36" s="287"/>
      <x:c r="G36" s="287"/>
      <x:c r="H36" s="287"/>
      <x:c r="I36" s="287"/>
      <x:c r="J36" s="287"/>
      <x:c r="K36" s="287"/>
      <x:c r="L36" s="287"/>
      <x:c r="M36" s="287"/>
      <x:c r="N36" s="287"/>
      <x:c r="O36" s="287"/>
    </x:row>
    <x:row r="37">
      <x:c r="A37" s="287"/>
      <x:c r="B37" s="287"/>
      <x:c r="C37" s="287"/>
      <x:c r="D37" s="287"/>
      <x:c r="E37" s="287"/>
      <x:c r="F37" s="287"/>
      <x:c r="G37" s="287"/>
      <x:c r="H37" s="287"/>
      <x:c r="I37" s="287"/>
      <x:c r="J37" s="287"/>
      <x:c r="K37" s="287"/>
      <x:c r="L37" s="287"/>
      <x:c r="M37" s="287"/>
      <x:c r="N37" s="287"/>
      <x:c r="O37" s="287"/>
    </x:row>
    <x:row r="38" ht="28" customHeight="1">
      <x:c r="A38" s="46" t="str">
        <x:v>Year</x:v>
      </x:c>
      <x:c r="B38" s="46" t="str">
        <x:v>After-tax FCF</x:v>
      </x:c>
      <x:c r="C38" s="287"/>
      <x:c r="D38" s="46" t="str">
        <x:v>Scenario</x:v>
      </x:c>
      <x:c r="E38" s="46" t="str">
        <x:v>NPV</x:v>
      </x:c>
      <x:c r="F38" s="287"/>
      <x:c r="G38" s="287"/>
      <x:c r="H38" s="287"/>
      <x:c r="I38" s="287"/>
      <x:c r="J38" s="287"/>
      <x:c r="K38" s="287"/>
      <x:c r="L38" s="287"/>
      <x:c r="M38" s="287"/>
      <x:c r="N38" s="287"/>
      <x:c r="O38" s="287"/>
    </x:row>
    <x:row r="39">
      <x:c r="A39" s="51" t="str">
        <x:v>Year 0</x:v>
      </x:c>
      <x:c r="B39" s="125" t="n">
        <x:f>'02_Cash_Flow'!C36</x:f>
        <x:v>-1732500</x:v>
      </x:c>
      <x:c r="C39" s="287"/>
      <x:c r="D39" s="51" t="str">
        <x:v>Downside</x:v>
      </x:c>
      <x:c r="E39" s="125" t="n">
        <x:f>'03_Scenarios'!D5</x:f>
        <x:v>-2037144.2995963017</x:v>
      </x:c>
      <x:c r="F39" s="287"/>
      <x:c r="G39" s="287"/>
      <x:c r="H39" s="287"/>
      <x:c r="I39" s="287"/>
      <x:c r="J39" s="287"/>
      <x:c r="K39" s="287"/>
      <x:c r="L39" s="287"/>
      <x:c r="M39" s="287"/>
      <x:c r="N39" s="287"/>
      <x:c r="O39" s="287"/>
    </x:row>
    <x:row r="40">
      <x:c r="A40" s="52" t="str">
        <x:v>Year 1</x:v>
      </x:c>
      <x:c r="B40" s="126" t="n">
        <x:f>'02_Cash_Flow'!D36</x:f>
        <x:v>745830.39</x:v>
      </x:c>
      <x:c r="C40" s="287"/>
      <x:c r="D40" s="52" t="str">
        <x:v>Base Case</x:v>
      </x:c>
      <x:c r="E40" s="126" t="n">
        <x:f>'03_Scenarios'!D6</x:f>
        <x:v>1453054.5620874665</x:v>
      </x:c>
      <x:c r="F40" s="287"/>
      <x:c r="G40" s="287"/>
      <x:c r="H40" s="287"/>
      <x:c r="I40" s="287"/>
      <x:c r="J40" s="287"/>
      <x:c r="K40" s="287"/>
      <x:c r="L40" s="287"/>
      <x:c r="M40" s="287"/>
      <x:c r="N40" s="287"/>
      <x:c r="O40" s="287"/>
    </x:row>
    <x:row r="41">
      <x:c r="A41" s="52" t="str">
        <x:v>Year 2</x:v>
      </x:c>
      <x:c r="B41" s="126" t="n">
        <x:f>'02_Cash_Flow'!E36</x:f>
        <x:v>767011.3722000001</x:v>
      </x:c>
      <x:c r="C41" s="287"/>
      <x:c r="D41" s="53" t="str">
        <x:v>Upside</x:v>
      </x:c>
      <x:c r="E41" s="163" t="n">
        <x:f>'03_Scenarios'!D7</x:f>
        <x:v>7332077.955573709</x:v>
      </x:c>
      <x:c r="F41" s="287"/>
      <x:c r="G41" s="287"/>
      <x:c r="H41" s="287"/>
      <x:c r="I41" s="287"/>
      <x:c r="J41" s="287"/>
      <x:c r="K41" s="287"/>
      <x:c r="L41" s="287"/>
      <x:c r="M41" s="287"/>
      <x:c r="N41" s="287"/>
      <x:c r="O41" s="287"/>
    </x:row>
    <x:row r="42">
      <x:c r="A42" s="52" t="str">
        <x:v>Year 3</x:v>
      </x:c>
      <x:c r="B42" s="126" t="n">
        <x:f>'02_Cash_Flow'!F36</x:f>
        <x:v>788846.7326760001</x:v>
      </x:c>
      <x:c r="C42" s="287"/>
      <x:c r="D42" s="287"/>
      <x:c r="E42" s="287"/>
      <x:c r="F42" s="287"/>
      <x:c r="G42" s="287"/>
      <x:c r="H42" s="287"/>
      <x:c r="I42" s="287"/>
      <x:c r="J42" s="287"/>
      <x:c r="K42" s="287"/>
      <x:c r="L42" s="287"/>
      <x:c r="M42" s="287"/>
      <x:c r="N42" s="287"/>
      <x:c r="O42" s="287"/>
    </x:row>
    <x:row r="43">
      <x:c r="A43" s="52" t="str">
        <x:v>Year 4</x:v>
      </x:c>
      <x:c r="B43" s="126" t="n">
        <x:f>'02_Cash_Flow'!G36</x:f>
        <x:v>811356.4817524801</x:v>
      </x:c>
      <x:c r="C43" s="287"/>
      <x:c r="D43" s="287"/>
      <x:c r="E43" s="287"/>
      <x:c r="F43" s="287"/>
      <x:c r="G43" s="287"/>
      <x:c r="H43" s="287"/>
      <x:c r="I43" s="287"/>
      <x:c r="J43" s="287"/>
      <x:c r="K43" s="287"/>
      <x:c r="L43" s="287"/>
      <x:c r="M43" s="287"/>
      <x:c r="N43" s="287"/>
      <x:c r="O43" s="287"/>
    </x:row>
    <x:row r="44">
      <x:c r="A44" s="53" t="str">
        <x:v>Year 5</x:v>
      </x:c>
      <x:c r="B44" s="163" t="n">
        <x:f>'02_Cash_Flow'!H36</x:f>
        <x:v>903341.4876431786</x:v>
      </x:c>
      <x:c r="C44" s="287"/>
      <x:c r="D44" s="287"/>
      <x:c r="E44" s="287"/>
      <x:c r="F44" s="287"/>
      <x:c r="G44" s="287"/>
      <x:c r="H44" s="287"/>
      <x:c r="I44" s="287"/>
      <x:c r="J44" s="287"/>
      <x:c r="K44" s="287"/>
      <x:c r="L44" s="287"/>
      <x:c r="M44" s="287"/>
      <x:c r="N44" s="287"/>
      <x:c r="O44" s="287"/>
    </x:row>
  </x:sheetData>
  <x:mergeCells>
    <x:mergeCell ref="A1:O1"/>
    <x:mergeCell ref="A2:O2"/>
    <x:mergeCell ref="A5:C5"/>
    <x:mergeCell ref="A6:C7"/>
    <x:mergeCell ref="A8:C8"/>
    <x:mergeCell ref="D5:F5"/>
    <x:mergeCell ref="D6:F7"/>
    <x:mergeCell ref="D8:F8"/>
    <x:mergeCell ref="G5:I5"/>
    <x:mergeCell ref="G6:I7"/>
    <x:mergeCell ref="G8:I8"/>
    <x:mergeCell ref="J5:L5"/>
    <x:mergeCell ref="J6:L7"/>
    <x:mergeCell ref="J8:L8"/>
    <x:mergeCell ref="M5:O5"/>
    <x:mergeCell ref="M6:O7"/>
    <x:mergeCell ref="M8:O8"/>
    <x:mergeCell ref="A10:O10"/>
    <x:mergeCell ref="A11:O12"/>
    <x:mergeCell ref="A14:F14"/>
    <x:mergeCell ref="A23:F23"/>
    <x:mergeCell ref="A24:F24"/>
    <x:mergeCell ref="A30:F30"/>
    <x:mergeCell ref="B31:F31"/>
    <x:mergeCell ref="B32:F32"/>
    <x:mergeCell ref="B33:F33"/>
    <x:mergeCell ref="B34:F34"/>
    <x:mergeCell ref="B35:F35"/>
  </x:mergeCells>
  <x:conditionalFormatting sqref="A11:O12">
    <x:cfRule type="containsText" dxfId="8" priority="1" operator="containsText" text="INVEST"/>
    <x:cfRule type="containsText" dxfId="9" priority="2" operator="containsText" text="PILOT"/>
    <x:cfRule type="containsText" dxfId="10" priority="3" operator="containsText" text="RETAIN"/>
  </x:conditionalFormatting>
  <x:conditionalFormatting sqref="D16:D21">
    <x:cfRule type="containsText" dxfId="11" priority="4" operator="containsText" text="PASS"/>
    <x:cfRule type="containsText" dxfId="12" priority="5" operator="containsText" text="FAIL"/>
  </x:conditionalFormatting>
  <x:pageMargins left="0.7" right="0.7" top="0.75" bottom="0.75" header="0.3" footer="0.3"/>
  <x:drawing xmlns:r="http://schemas.openxmlformats.org/officeDocument/2006/relationships" r:id="R93b121b6cd65411a"/>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38" hidden="0" customWidth="1"/>
    <x:col min="4" max="4" width="18" hidden="0" customWidth="1"/>
    <x:col min="5" max="5" width="16" hidden="0" customWidth="1"/>
    <x:col min="6" max="6" width="26" hidden="0" customWidth="1"/>
    <x:col min="7" max="7" width="24" hidden="0" customWidth="1"/>
    <x:col min="8" max="8" width="62" hidden="0" customWidth="1"/>
    <x:col min="9" max="9" width="16" hidden="0" customWidth="1"/>
    <x:col min="10" max="10" width="52" hidden="0" customWidth="1"/>
  </x:cols>
  <x:sheetData>
    <x:row r="1" ht="32" customHeight="1">
      <x:c r="A1" s="4" t="str">
        <x:v>06 | Sources and Assumption Audit Trail</x:v>
      </x:c>
      <x:c r="B1" s="4" t="str">
        <x:v>06 | Sources and Assumption Audit Trail</x:v>
      </x:c>
      <x:c r="C1" s="4" t="str">
        <x:v>06 | Sources and Assumption Audit Trail</x:v>
      </x:c>
      <x:c r="D1" s="4" t="str">
        <x:v>06 | Sources and Assumption Audit Trail</x:v>
      </x:c>
      <x:c r="E1" s="4" t="str">
        <x:v>06 | Sources and Assumption Audit Trail</x:v>
      </x:c>
      <x:c r="F1" s="4" t="str">
        <x:v>06 | Sources and Assumption Audit Trail</x:v>
      </x:c>
      <x:c r="G1" s="4" t="str">
        <x:v>06 | Sources and Assumption Audit Trail</x:v>
      </x:c>
      <x:c r="H1" s="4" t="str">
        <x:v>06 | Sources and Assumption Audit Trail</x:v>
      </x:c>
      <x:c r="I1" s="4" t="str">
        <x:v>06 | Sources and Assumption Audit Trail</x:v>
      </x:c>
      <x:c r="J1" s="4" t="str">
        <x:v>06 | Sources and Assumption Audit Trail</x:v>
      </x:c>
    </x:row>
    <x:row r="2" ht="28" customHeight="1">
      <x:c r="A2" s="9" t="str">
        <x:v>Public facts are separated from scenario assumptions. A real investment requires vendor quotes, a site study and owner sign-off.</x:v>
      </x:c>
      <x:c r="B2" s="9" t="str">
        <x:v>Public facts are separated from scenario assumptions. A real investment requires vendor quotes, a site study and owner sign-off.</x:v>
      </x:c>
      <x:c r="C2" s="9" t="str">
        <x:v>Public facts are separated from scenario assumptions. A real investment requires vendor quotes, a site study and owner sign-off.</x:v>
      </x:c>
      <x:c r="D2" s="9" t="str">
        <x:v>Public facts are separated from scenario assumptions. A real investment requires vendor quotes, a site study and owner sign-off.</x:v>
      </x:c>
      <x:c r="E2" s="9" t="str">
        <x:v>Public facts are separated from scenario assumptions. A real investment requires vendor quotes, a site study and owner sign-off.</x:v>
      </x:c>
      <x:c r="F2" s="9" t="str">
        <x:v>Public facts are separated from scenario assumptions. A real investment requires vendor quotes, a site study and owner sign-off.</x:v>
      </x:c>
      <x:c r="G2" s="9" t="str">
        <x:v>Public facts are separated from scenario assumptions. A real investment requires vendor quotes, a site study and owner sign-off.</x:v>
      </x:c>
      <x:c r="H2" s="9" t="str">
        <x:v>Public facts are separated from scenario assumptions. A real investment requires vendor quotes, a site study and owner sign-off.</x:v>
      </x:c>
      <x:c r="I2" s="9" t="str">
        <x:v>Public facts are separated from scenario assumptions. A real investment requires vendor quotes, a site study and owner sign-off.</x:v>
      </x:c>
      <x:c r="J2" s="9" t="str">
        <x:v>Public facts are separated from scenario assumptions. A real investment requires vendor quotes, a site study and owner sign-off.</x:v>
      </x:c>
    </x:row>
    <x:row r="3">
      <x:c r="A3" s="287"/>
      <x:c r="B3" s="287"/>
      <x:c r="C3" s="287"/>
      <x:c r="D3" s="287"/>
      <x:c r="E3" s="287"/>
      <x:c r="F3" s="287"/>
      <x:c r="G3" s="287"/>
      <x:c r="H3" s="287"/>
      <x:c r="I3" s="287"/>
      <x:c r="J3" s="287"/>
    </x:row>
    <x:row r="4" ht="28" customHeight="1">
      <x:c r="A4" s="46" t="str">
        <x:v>Source ID</x:v>
      </x:c>
      <x:c r="B4" s="46" t="str">
        <x:v>Input / Claim</x:v>
      </x:c>
      <x:c r="C4" s="46" t="str">
        <x:v>Value</x:v>
      </x:c>
      <x:c r="D4" s="46" t="str">
        <x:v>Unit</x:v>
      </x:c>
      <x:c r="E4" s="46" t="str">
        <x:v>As of</x:v>
      </x:c>
      <x:c r="F4" s="46" t="str">
        <x:v>Type</x:v>
      </x:c>
      <x:c r="G4" s="46" t="str">
        <x:v>Source / Owner</x:v>
      </x:c>
      <x:c r="H4" s="46" t="str">
        <x:v>URL</x:v>
      </x:c>
      <x:c r="I4" s="46" t="str">
        <x:v>Accessed</x:v>
      </x:c>
      <x:c r="J4" s="46" t="str">
        <x:v>Notes</x:v>
      </x:c>
    </x:row>
    <x:row r="5" ht="34" customHeight="1">
      <x:c r="A5" s="74" t="str">
        <x:v>S1</x:v>
      </x:c>
      <x:c r="B5" s="74" t="str">
        <x:v>UR20 payload, reach and power consumption</x:v>
      </x:c>
      <x:c r="C5" s="267" t="str">
        <x:v>20 kg nominal; 25 kg boundary; 1,750 mm; approx. 500 W typical</x:v>
      </x:c>
      <x:c r="D5" s="74" t="str">
        <x:v>mixed</x:v>
      </x:c>
      <x:c r="E5" s="74" t="str">
        <x:v>2026-08-10</x:v>
      </x:c>
      <x:c r="F5" s="74" t="str">
        <x:v>Primary vendor technical source</x:v>
      </x:c>
      <x:c r="G5" s="74" t="str">
        <x:v>Universal Robots</x:v>
      </x:c>
      <x:c r="H5" s="268" t="str">
        <x:v>https://www.universal-robots.com/manuals/EN/HTML/SW5_25/Content/prod-usr-man/complianceUR20/H_g5_sections/appendix_g5/tech_spec_UR20.htm</x:v>
      </x:c>
      <x:c r="I5" s="269" t="n">
        <x:v>46244</x:v>
      </x:c>
      <x:c r="J5" s="267" t="str">
        <x:v>Technical facts only; total cell performance still requires integration study.</x:v>
      </x:c>
    </x:row>
    <x:row r="6" ht="34" customHeight="1">
      <x:c r="A6" s="75" t="str">
        <x:v>S2</x:v>
      </x:c>
      <x:c r="B6" s="75" t="str">
        <x:v>Published palletizing use case</x:v>
      </x:c>
      <x:c r="C6" s="270" t="str">
        <x:v>Products up to 12 kg</x:v>
      </x:c>
      <x:c r="D6" s="75" t="str">
        <x:v>kg</x:v>
      </x:c>
      <x:c r="E6" s="75" t="str">
        <x:v>current page</x:v>
      </x:c>
      <x:c r="F6" s="75" t="str">
        <x:v>Primary vendor case study</x:v>
      </x:c>
      <x:c r="G6" s="75" t="str">
        <x:v>Universal Robots / Ornua</x:v>
      </x:c>
      <x:c r="H6" s="271" t="str">
        <x:v>https://www.universal-robots.com/case-stories/ornua/</x:v>
      </x:c>
      <x:c r="I6" s="272" t="n">
        <x:v>46244</x:v>
      </x:c>
      <x:c r="J6" s="270" t="str">
        <x:v>Supports technical plausibility, not our economic assumptions.</x:v>
      </x:c>
    </x:row>
    <x:row r="7" ht="34" customHeight="1">
      <x:c r="A7" s="75" t="str">
        <x:v>S3</x:v>
      </x:c>
      <x:c r="B7" s="75" t="str">
        <x:v>Swedish labor-cost benchmark context</x:v>
      </x:c>
      <x:c r="C7" s="270" t="str">
        <x:v>390–510 scenario range</x:v>
      </x:c>
      <x:c r="D7" s="75" t="str">
        <x:v>SEK/hour</x:v>
      </x:c>
      <x:c r="E7" s="75" t="str">
        <x:v>2025 data</x:v>
      </x:c>
      <x:c r="F7" s="75" t="str">
        <x:v>Official statistics + model scenario</x:v>
      </x:c>
      <x:c r="G7" s="75" t="str">
        <x:v>Eurostat</x:v>
      </x:c>
      <x:c r="H7" s="271" t="str">
        <x:v>https://ec.europa.eu/eurostat/statistics-explained/index.php?title=Hourly_labour_costs</x:v>
      </x:c>
      <x:c r="I7" s="272" t="n">
        <x:v>46244</x:v>
      </x:c>
      <x:c r="J7" s="270" t="str">
        <x:v>Use site payroll and overhead for a real decision; Eurostat notes Sweden has a high non-wage cost share.</x:v>
      </x:c>
    </x:row>
    <x:row r="8" ht="34" customHeight="1">
      <x:c r="A8" s="75" t="str">
        <x:v>S4</x:v>
      </x:c>
      <x:c r="B8" s="75" t="str">
        <x:v>Corporate income tax rate</x:v>
      </x:c>
      <x:c r="C8" s="273" t="n">
        <x:v>0.206</x:v>
      </x:c>
      <x:c r="D8" s="75" t="str">
        <x:v>%</x:v>
      </x:c>
      <x:c r="E8" s="75" t="str">
        <x:v>current page</x:v>
      </x:c>
      <x:c r="F8" s="75" t="str">
        <x:v>Primary government source</x:v>
      </x:c>
      <x:c r="G8" s="75" t="str">
        <x:v>Skatteverket</x:v>
      </x:c>
      <x:c r="H8" s="271" t="str">
        <x:v>https://www.skatteverket.se/servicelankar/otherlanguages/englishengelska/businessesandemployers/nonswedishbusinesseswithoperationsinsweden/declaringincome.4.676f4884175c97df41919b9.html</x:v>
      </x:c>
      <x:c r="I8" s="272" t="n">
        <x:v>46244</x:v>
      </x:c>
      <x:c r="J8" s="270" t="str">
        <x:v>Simplified cash-tax assumption; confirm company-specific tax treatment.</x:v>
      </x:c>
    </x:row>
    <x:row r="9" ht="34" customHeight="1">
      <x:c r="A9" s="274" t="str">
        <x:v>A1</x:v>
      </x:c>
      <x:c r="B9" s="274" t="str">
        <x:v>Evaluation horizon</x:v>
      </x:c>
      <x:c r="C9" s="275" t="str">
        <x:v>5</x:v>
      </x:c>
      <x:c r="D9" s="274" t="str">
        <x:v>years</x:v>
      </x:c>
      <x:c r="E9" s="274" t="str">
        <x:v>model design</x:v>
      </x:c>
      <x:c r="F9" s="274" t="str">
        <x:v>Model assumption</x:v>
      </x:c>
      <x:c r="G9" s="274" t="str">
        <x:v>Project owner</x:v>
      </x:c>
      <x:c r="H9" s="276" t="str"/>
      <x:c r="I9" s="277" t="n">
        <x:v>46244</x:v>
      </x:c>
      <x:c r="J9" s="275" t="str">
        <x:v>Chosen for a compact capital-investment case.</x:v>
      </x:c>
    </x:row>
    <x:row r="10" ht="34" customHeight="1">
      <x:c r="A10" s="274" t="str">
        <x:v>A2</x:v>
      </x:c>
      <x:c r="B10" s="274" t="str">
        <x:v>Discount rate</x:v>
      </x:c>
      <x:c r="C10" s="275" t="str">
        <x:v>6% / 8% / 10%</x:v>
      </x:c>
      <x:c r="D10" s="274" t="str">
        <x:v>%</x:v>
      </x:c>
      <x:c r="E10" s="274" t="str">
        <x:v>scenario</x:v>
      </x:c>
      <x:c r="F10" s="274" t="str">
        <x:v>Management assumption</x:v>
      </x:c>
      <x:c r="G10" s="274" t="str">
        <x:v>CFO</x:v>
      </x:c>
      <x:c r="H10" s="276" t="str"/>
      <x:c r="I10" s="277" t="n">
        <x:v>46244</x:v>
      </x:c>
      <x:c r="J10" s="275" t="str">
        <x:v>Replace with approved WACC or investment hurdle.</x:v>
      </x:c>
    </x:row>
    <x:row r="11" ht="34" customHeight="1">
      <x:c r="A11" s="274" t="str">
        <x:v>A3</x:v>
      </x:c>
      <x:c r="B11" s="274" t="str">
        <x:v>Depreciation period</x:v>
      </x:c>
      <x:c r="C11" s="275" t="str">
        <x:v>5</x:v>
      </x:c>
      <x:c r="D11" s="274" t="str">
        <x:v>years</x:v>
      </x:c>
      <x:c r="E11" s="274" t="str">
        <x:v>scenario</x:v>
      </x:c>
      <x:c r="F11" s="274" t="str">
        <x:v>Simplifying assumption</x:v>
      </x:c>
      <x:c r="G11" s="274" t="str">
        <x:v>Finance</x:v>
      </x:c>
      <x:c r="H11" s="276" t="str"/>
      <x:c r="I11" s="277" t="n">
        <x:v>46244</x:v>
      </x:c>
      <x:c r="J11" s="275" t="str">
        <x:v>Straight-line; confirm tax depreciation.</x:v>
      </x:c>
    </x:row>
    <x:row r="12" ht="34" customHeight="1">
      <x:c r="A12" s="274" t="str">
        <x:v>A4</x:v>
      </x:c>
      <x:c r="B12" s="274" t="str">
        <x:v>Shifts per day</x:v>
      </x:c>
      <x:c r="C12" s="275" t="str">
        <x:v>1 / 2 / 3</x:v>
      </x:c>
      <x:c r="D12" s="274" t="str">
        <x:v>shifts/day</x:v>
      </x:c>
      <x:c r="E12" s="274" t="str">
        <x:v>scenario</x:v>
      </x:c>
      <x:c r="F12" s="274" t="str">
        <x:v>Site assumption</x:v>
      </x:c>
      <x:c r="G12" s="274" t="str">
        <x:v>Operations</x:v>
      </x:c>
      <x:c r="H12" s="276" t="str"/>
      <x:c r="I12" s="277" t="n">
        <x:v>46244</x:v>
      </x:c>
      <x:c r="J12" s="275" t="str">
        <x:v>Confirm production schedule.</x:v>
      </x:c>
    </x:row>
    <x:row r="13" ht="34" customHeight="1">
      <x:c r="A13" s="274" t="str">
        <x:v>A5</x:v>
      </x:c>
      <x:c r="B13" s="274" t="str">
        <x:v>Operating days</x:v>
      </x:c>
      <x:c r="C13" s="275" t="str">
        <x:v>225 / 240 / 250</x:v>
      </x:c>
      <x:c r="D13" s="274" t="str">
        <x:v>days/year</x:v>
      </x:c>
      <x:c r="E13" s="274" t="str">
        <x:v>scenario</x:v>
      </x:c>
      <x:c r="F13" s="274" t="str">
        <x:v>Site assumption</x:v>
      </x:c>
      <x:c r="G13" s="274" t="str">
        <x:v>Operations</x:v>
      </x:c>
      <x:c r="H13" s="276" t="str"/>
      <x:c r="I13" s="277" t="n">
        <x:v>46244</x:v>
      </x:c>
      <x:c r="J13" s="275" t="str">
        <x:v>Confirm production calendar.</x:v>
      </x:c>
    </x:row>
    <x:row r="14" ht="34" customHeight="1">
      <x:c r="A14" s="274" t="str">
        <x:v>A6</x:v>
      </x:c>
      <x:c r="B14" s="274" t="str">
        <x:v>Productive shift hours</x:v>
      </x:c>
      <x:c r="C14" s="275" t="str">
        <x:v>7.2 / 7.5 / 7.7</x:v>
      </x:c>
      <x:c r="D14" s="274" t="str">
        <x:v>hours/shift</x:v>
      </x:c>
      <x:c r="E14" s="274" t="str">
        <x:v>scenario</x:v>
      </x:c>
      <x:c r="F14" s="274" t="str">
        <x:v>Site assumption</x:v>
      </x:c>
      <x:c r="G14" s="274" t="str">
        <x:v>Operations</x:v>
      </x:c>
      <x:c r="H14" s="276" t="str"/>
      <x:c r="I14" s="277" t="n">
        <x:v>46244</x:v>
      </x:c>
      <x:c r="J14" s="275" t="str">
        <x:v>Confirm paid and productive hours.</x:v>
      </x:c>
    </x:row>
    <x:row r="15" ht="34" customHeight="1">
      <x:c r="A15" s="274" t="str">
        <x:v>A7</x:v>
      </x:c>
      <x:c r="B15" s="274" t="str">
        <x:v>Operators per shift</x:v>
      </x:c>
      <x:c r="C15" s="275" t="str">
        <x:v>1</x:v>
      </x:c>
      <x:c r="D15" s="274" t="str">
        <x:v>FTE/shift</x:v>
      </x:c>
      <x:c r="E15" s="274" t="str">
        <x:v>scenario</x:v>
      </x:c>
      <x:c r="F15" s="274" t="str">
        <x:v>Site assumption</x:v>
      </x:c>
      <x:c r="G15" s="274" t="str">
        <x:v>Operations</x:v>
      </x:c>
      <x:c r="H15" s="276" t="str"/>
      <x:c r="I15" s="277" t="n">
        <x:v>46244</x:v>
      </x:c>
      <x:c r="J15" s="275" t="str">
        <x:v>Confirm actual task allocation.</x:v>
      </x:c>
    </x:row>
    <x:row r="16" ht="34" customHeight="1">
      <x:c r="A16" s="274" t="str">
        <x:v>A8</x:v>
      </x:c>
      <x:c r="B16" s="274" t="str">
        <x:v>Labor-savings realization</x:v>
      </x:c>
      <x:c r="C16" s="275" t="str">
        <x:v>45% / 65% / 85%</x:v>
      </x:c>
      <x:c r="D16" s="274" t="str">
        <x:v>%</x:v>
      </x:c>
      <x:c r="E16" s="274" t="str">
        <x:v>scenario</x:v>
      </x:c>
      <x:c r="F16" s="274" t="str">
        <x:v>Decision assumption</x:v>
      </x:c>
      <x:c r="G16" s="274" t="str">
        <x:v>COO / CFO</x:v>
      </x:c>
      <x:c r="H16" s="276" t="str"/>
      <x:c r="I16" s="277" t="n">
        <x:v>46244</x:v>
      </x:c>
      <x:c r="J16" s="275" t="str">
        <x:v>Key value driver; prove cost avoidance or measurable redeployment.</x:v>
      </x:c>
    </x:row>
    <x:row r="17" ht="34" customHeight="1">
      <x:c r="A17" s="274" t="str">
        <x:v>A9</x:v>
      </x:c>
      <x:c r="B17" s="274" t="str">
        <x:v>Cell uptime</x:v>
      </x:c>
      <x:c r="C17" s="275" t="str">
        <x:v>85% / 92% / 96%</x:v>
      </x:c>
      <x:c r="D17" s="274" t="str">
        <x:v>%</x:v>
      </x:c>
      <x:c r="E17" s="274" t="str">
        <x:v>scenario</x:v>
      </x:c>
      <x:c r="F17" s="274" t="str">
        <x:v>Engineering assumption</x:v>
      </x:c>
      <x:c r="G17" s="274" t="str">
        <x:v>Engineering</x:v>
      </x:c>
      <x:c r="H17" s="276" t="str"/>
      <x:c r="I17" s="277" t="n">
        <x:v>46244</x:v>
      </x:c>
      <x:c r="J17" s="275" t="str">
        <x:v>Validate during pilot.</x:v>
      </x:c>
    </x:row>
    <x:row r="18" ht="34" customHeight="1">
      <x:c r="A18" s="274" t="str">
        <x:v>A10</x:v>
      </x:c>
      <x:c r="B18" s="274" t="str">
        <x:v>Labor cost inflation</x:v>
      </x:c>
      <x:c r="C18" s="275" t="str">
        <x:v>2% / 3% / 4%</x:v>
      </x:c>
      <x:c r="D18" s="274" t="str">
        <x:v>%</x:v>
      </x:c>
      <x:c r="E18" s="274" t="str">
        <x:v>scenario</x:v>
      </x:c>
      <x:c r="F18" s="274" t="str">
        <x:v>Economic assumption</x:v>
      </x:c>
      <x:c r="G18" s="274" t="str">
        <x:v>Finance</x:v>
      </x:c>
      <x:c r="H18" s="276" t="str"/>
      <x:c r="I18" s="277" t="n">
        <x:v>46244</x:v>
      </x:c>
      <x:c r="J18" s="275" t="str">
        <x:v>Scenario only, not a forecast.</x:v>
      </x:c>
    </x:row>
    <x:row r="19" ht="34" customHeight="1">
      <x:c r="A19" s="274" t="str">
        <x:v>A11</x:v>
      </x:c>
      <x:c r="B19" s="274" t="str">
        <x:v>Loaded labor cost</x:v>
      </x:c>
      <x:c r="C19" s="275" t="str">
        <x:v>390 / 450 / 510</x:v>
      </x:c>
      <x:c r="D19" s="274" t="str">
        <x:v>SEK/hour</x:v>
      </x:c>
      <x:c r="E19" s="274" t="str">
        <x:v>scenario</x:v>
      </x:c>
      <x:c r="F19" s="274" t="str">
        <x:v>Site assumption</x:v>
      </x:c>
      <x:c r="G19" s="274" t="str">
        <x:v>Finance / HR</x:v>
      </x:c>
      <x:c r="H19" s="276" t="str"/>
      <x:c r="I19" s="277" t="n">
        <x:v>46244</x:v>
      </x:c>
      <x:c r="J19" s="275" t="str">
        <x:v>Replace with payroll, employer costs and overhead policy.</x:v>
      </x:c>
    </x:row>
    <x:row r="20" ht="34" customHeight="1">
      <x:c r="A20" s="274" t="str">
        <x:v>A12</x:v>
      </x:c>
      <x:c r="B20" s="274" t="str">
        <x:v>End-effector weight</x:v>
      </x:c>
      <x:c r="C20" s="275" t="str">
        <x:v>5</x:v>
      </x:c>
      <x:c r="D20" s="274" t="str">
        <x:v>kg</x:v>
      </x:c>
      <x:c r="E20" s="274" t="str">
        <x:v>scenario</x:v>
      </x:c>
      <x:c r="F20" s="274" t="str">
        <x:v>Engineering assumption</x:v>
      </x:c>
      <x:c r="G20" s="274" t="str">
        <x:v>Integrator</x:v>
      </x:c>
      <x:c r="H20" s="276" t="str"/>
      <x:c r="I20" s="277" t="n">
        <x:v>46244</x:v>
      </x:c>
      <x:c r="J20" s="275" t="str">
        <x:v>Verify tooling mass and center of gravity.</x:v>
      </x:c>
    </x:row>
    <x:row r="21" ht="34" customHeight="1">
      <x:c r="A21" s="274" t="str">
        <x:v>A13</x:v>
      </x:c>
      <x:c r="B21" s="274" t="str">
        <x:v>Required line rate</x:v>
      </x:c>
      <x:c r="C21" s="275" t="str">
        <x:v>220</x:v>
      </x:c>
      <x:c r="D21" s="274" t="str">
        <x:v>cartons/hour</x:v>
      </x:c>
      <x:c r="E21" s="274" t="str">
        <x:v>scenario</x:v>
      </x:c>
      <x:c r="F21" s="274" t="str">
        <x:v>Site assumption</x:v>
      </x:c>
      <x:c r="G21" s="274" t="str">
        <x:v>Operations</x:v>
      </x:c>
      <x:c r="H21" s="276" t="str"/>
      <x:c r="I21" s="277" t="n">
        <x:v>46244</x:v>
      </x:c>
      <x:c r="J21" s="275" t="str">
        <x:v>Measure actual peak and sustained rates.</x:v>
      </x:c>
    </x:row>
    <x:row r="22" ht="34" customHeight="1">
      <x:c r="A22" s="274" t="str">
        <x:v>A14</x:v>
      </x:c>
      <x:c r="B22" s="274" t="str">
        <x:v>Designed cell throughput</x:v>
      </x:c>
      <x:c r="C22" s="275" t="str">
        <x:v>230 / 250 / 280</x:v>
      </x:c>
      <x:c r="D22" s="274" t="str">
        <x:v>cartons/hour</x:v>
      </x:c>
      <x:c r="E22" s="274" t="str">
        <x:v>scenario</x:v>
      </x:c>
      <x:c r="F22" s="274" t="str">
        <x:v>Engineering assumption</x:v>
      </x:c>
      <x:c r="G22" s="274" t="str">
        <x:v>Integrator</x:v>
      </x:c>
      <x:c r="H22" s="276" t="str"/>
      <x:c r="I22" s="277" t="n">
        <x:v>46244</x:v>
      </x:c>
      <x:c r="J22" s="275" t="str">
        <x:v>Requires layout and cycle-time study.</x:v>
      </x:c>
    </x:row>
    <x:row r="23" ht="34" customHeight="1">
      <x:c r="A23" s="274" t="str">
        <x:v>A15</x:v>
      </x:c>
      <x:c r="B23" s="274" t="str">
        <x:v>Robot and controller</x:v>
      </x:c>
      <x:c r="C23" s="275" t="str">
        <x:v>600k–750k</x:v>
      </x:c>
      <x:c r="D23" s="274" t="str">
        <x:v>SEK</x:v>
      </x:c>
      <x:c r="E23" s="274" t="str">
        <x:v>scenario</x:v>
      </x:c>
      <x:c r="F23" s="274" t="str">
        <x:v>Quote placeholder</x:v>
      </x:c>
      <x:c r="G23" s="274" t="str">
        <x:v>Supplier</x:v>
      </x:c>
      <x:c r="H23" s="276" t="str"/>
      <x:c r="I23" s="277" t="n">
        <x:v>46244</x:v>
      </x:c>
      <x:c r="J23" s="275" t="str">
        <x:v>Not a market quote.</x:v>
      </x:c>
    </x:row>
    <x:row r="24" ht="34" customHeight="1">
      <x:c r="A24" s="274" t="str">
        <x:v>A16</x:v>
      </x:c>
      <x:c r="B24" s="274" t="str">
        <x:v>End-effector and pedestal</x:v>
      </x:c>
      <x:c r="C24" s="275" t="str">
        <x:v>220k–300k</x:v>
      </x:c>
      <x:c r="D24" s="274" t="str">
        <x:v>SEK</x:v>
      </x:c>
      <x:c r="E24" s="274" t="str">
        <x:v>scenario</x:v>
      </x:c>
      <x:c r="F24" s="274" t="str">
        <x:v>Quote placeholder</x:v>
      </x:c>
      <x:c r="G24" s="274" t="str">
        <x:v>Supplier</x:v>
      </x:c>
      <x:c r="H24" s="276" t="str"/>
      <x:c r="I24" s="277" t="n">
        <x:v>46244</x:v>
      </x:c>
      <x:c r="J24" s="275" t="str">
        <x:v>Not a market quote.</x:v>
      </x:c>
    </x:row>
    <x:row r="25" ht="34" customHeight="1">
      <x:c r="A25" s="274" t="str">
        <x:v>A17</x:v>
      </x:c>
      <x:c r="B25" s="274" t="str">
        <x:v>Safety and conveyor integration</x:v>
      </x:c>
      <x:c r="C25" s="275" t="str">
        <x:v>160k–250k</x:v>
      </x:c>
      <x:c r="D25" s="274" t="str">
        <x:v>SEK</x:v>
      </x:c>
      <x:c r="E25" s="274" t="str">
        <x:v>scenario</x:v>
      </x:c>
      <x:c r="F25" s="274" t="str">
        <x:v>Quote placeholder</x:v>
      </x:c>
      <x:c r="G25" s="274" t="str">
        <x:v>Integrator</x:v>
      </x:c>
      <x:c r="H25" s="276" t="str"/>
      <x:c r="I25" s="277" t="n">
        <x:v>46244</x:v>
      </x:c>
      <x:c r="J25" s="275" t="str">
        <x:v>Scope depends on risk assessment and existing line.</x:v>
      </x:c>
    </x:row>
    <x:row r="26" ht="34" customHeight="1">
      <x:c r="A26" s="274" t="str">
        <x:v>A18</x:v>
      </x:c>
      <x:c r="B26" s="274" t="str">
        <x:v>Systems integration and commissioning</x:v>
      </x:c>
      <x:c r="C26" s="275" t="str">
        <x:v>300k–500k</x:v>
      </x:c>
      <x:c r="D26" s="274" t="str">
        <x:v>SEK</x:v>
      </x:c>
      <x:c r="E26" s="274" t="str">
        <x:v>scenario</x:v>
      </x:c>
      <x:c r="F26" s="274" t="str">
        <x:v>Quote placeholder</x:v>
      </x:c>
      <x:c r="G26" s="274" t="str">
        <x:v>Integrator</x:v>
      </x:c>
      <x:c r="H26" s="276" t="str"/>
      <x:c r="I26" s="277" t="n">
        <x:v>46244</x:v>
      </x:c>
      <x:c r="J26" s="275" t="str">
        <x:v>Not a market quote.</x:v>
      </x:c>
    </x:row>
    <x:row r="27" ht="34" customHeight="1">
      <x:c r="A27" s="274" t="str">
        <x:v>A19</x:v>
      </x:c>
      <x:c r="B27" s="274" t="str">
        <x:v>Training and change management</x:v>
      </x:c>
      <x:c r="C27" s="275" t="str">
        <x:v>50k–100k</x:v>
      </x:c>
      <x:c r="D27" s="274" t="str">
        <x:v>SEK</x:v>
      </x:c>
      <x:c r="E27" s="274" t="str">
        <x:v>scenario</x:v>
      </x:c>
      <x:c r="F27" s="274" t="str">
        <x:v>Quote placeholder</x:v>
      </x:c>
      <x:c r="G27" s="274" t="str">
        <x:v>Operations / HR</x:v>
      </x:c>
      <x:c r="H27" s="276" t="str"/>
      <x:c r="I27" s="277" t="n">
        <x:v>46244</x:v>
      </x:c>
      <x:c r="J27" s="275" t="str">
        <x:v>Illustrative launch allowance.</x:v>
      </x:c>
    </x:row>
    <x:row r="28" ht="34" customHeight="1">
      <x:c r="A28" s="274" t="str">
        <x:v>A20</x:v>
      </x:c>
      <x:c r="B28" s="274" t="str">
        <x:v>Contingency</x:v>
      </x:c>
      <x:c r="C28" s="275" t="str">
        <x:v>5% / 10% / 15%</x:v>
      </x:c>
      <x:c r="D28" s="274" t="str">
        <x:v>%</x:v>
      </x:c>
      <x:c r="E28" s="274" t="str">
        <x:v>scenario</x:v>
      </x:c>
      <x:c r="F28" s="274" t="str">
        <x:v>Management assumption</x:v>
      </x:c>
      <x:c r="G28" s="274" t="str">
        <x:v>CFO</x:v>
      </x:c>
      <x:c r="H28" s="276" t="str"/>
      <x:c r="I28" s="277" t="n">
        <x:v>46244</x:v>
      </x:c>
      <x:c r="J28" s="275" t="str">
        <x:v>Applied to installed-cost line items.</x:v>
      </x:c>
    </x:row>
    <x:row r="29" ht="34" customHeight="1">
      <x:c r="A29" s="274" t="str">
        <x:v>A21</x:v>
      </x:c>
      <x:c r="B29" s="274" t="str">
        <x:v>Annual maintenance</x:v>
      </x:c>
      <x:c r="C29" s="275" t="str">
        <x:v>4% / 5% / 7%</x:v>
      </x:c>
      <x:c r="D29" s="274" t="str">
        <x:v>% of capex</x:v>
      </x:c>
      <x:c r="E29" s="274" t="str">
        <x:v>scenario</x:v>
      </x:c>
      <x:c r="F29" s="274" t="str">
        <x:v>Quote placeholder</x:v>
      </x:c>
      <x:c r="G29" s="274" t="str">
        <x:v>Maintenance</x:v>
      </x:c>
      <x:c r="H29" s="276" t="str"/>
      <x:c r="I29" s="277" t="n">
        <x:v>46244</x:v>
      </x:c>
      <x:c r="J29" s="275" t="str">
        <x:v>Replace with service contract and spare-parts plan.</x:v>
      </x:c>
    </x:row>
    <x:row r="30" ht="34" customHeight="1">
      <x:c r="A30" s="274" t="str">
        <x:v>A22</x:v>
      </x:c>
      <x:c r="B30" s="274" t="str">
        <x:v>Software and service</x:v>
      </x:c>
      <x:c r="C30" s="275" t="str">
        <x:v>20k–45k</x:v>
      </x:c>
      <x:c r="D30" s="274" t="str">
        <x:v>SEK/year</x:v>
      </x:c>
      <x:c r="E30" s="274" t="str">
        <x:v>scenario</x:v>
      </x:c>
      <x:c r="F30" s="274" t="str">
        <x:v>Quote placeholder</x:v>
      </x:c>
      <x:c r="G30" s="274" t="str">
        <x:v>Supplier</x:v>
      </x:c>
      <x:c r="H30" s="276" t="str"/>
      <x:c r="I30" s="277" t="n">
        <x:v>46244</x:v>
      </x:c>
      <x:c r="J30" s="275" t="str">
        <x:v>Illustrative recurring cost.</x:v>
      </x:c>
    </x:row>
    <x:row r="31" ht="34" customHeight="1">
      <x:c r="A31" s="274" t="str">
        <x:v>A23</x:v>
      </x:c>
      <x:c r="B31" s="274" t="str">
        <x:v>Electricity price</x:v>
      </x:c>
      <x:c r="C31" s="275" t="str">
        <x:v>1.0–2.0</x:v>
      </x:c>
      <x:c r="D31" s="274" t="str">
        <x:v>SEK/kWh</x:v>
      </x:c>
      <x:c r="E31" s="274" t="str">
        <x:v>scenario</x:v>
      </x:c>
      <x:c r="F31" s="274" t="str">
        <x:v>Economic assumption</x:v>
      </x:c>
      <x:c r="G31" s="274" t="str">
        <x:v>Finance</x:v>
      </x:c>
      <x:c r="H31" s="276" t="str"/>
      <x:c r="I31" s="277" t="n">
        <x:v>46244</x:v>
      </x:c>
      <x:c r="J31" s="275" t="str">
        <x:v>Replace with site all-in cost.</x:v>
      </x:c>
    </x:row>
    <x:row r="32" ht="34" customHeight="1">
      <x:c r="A32" s="274" t="str">
        <x:v>A24</x:v>
      </x:c>
      <x:c r="B32" s="274" t="str">
        <x:v>Operating-cost inflation</x:v>
      </x:c>
      <x:c r="C32" s="275" t="str">
        <x:v>1% / 2% / 3%</x:v>
      </x:c>
      <x:c r="D32" s="274" t="str">
        <x:v>%</x:v>
      </x:c>
      <x:c r="E32" s="274" t="str">
        <x:v>scenario</x:v>
      </x:c>
      <x:c r="F32" s="274" t="str">
        <x:v>Economic assumption</x:v>
      </x:c>
      <x:c r="G32" s="274" t="str">
        <x:v>Finance</x:v>
      </x:c>
      <x:c r="H32" s="276" t="str"/>
      <x:c r="I32" s="277" t="n">
        <x:v>46244</x:v>
      </x:c>
      <x:c r="J32" s="275" t="str">
        <x:v>Scenario only, not a forecast.</x:v>
      </x:c>
    </x:row>
    <x:row r="33" ht="34" customHeight="1">
      <x:c r="A33" s="274" t="str">
        <x:v>A25</x:v>
      </x:c>
      <x:c r="B33" s="274" t="str">
        <x:v>Salvage value</x:v>
      </x:c>
      <x:c r="C33" s="275" t="str">
        <x:v>0% / 5% / 10%</x:v>
      </x:c>
      <x:c r="D33" s="274" t="str">
        <x:v>% of capex</x:v>
      </x:c>
      <x:c r="E33" s="274" t="str">
        <x:v>scenario</x:v>
      </x:c>
      <x:c r="F33" s="274" t="str">
        <x:v>Management assumption</x:v>
      </x:c>
      <x:c r="G33" s="274" t="str">
        <x:v>Finance</x:v>
      </x:c>
      <x:c r="H33" s="276" t="str"/>
      <x:c r="I33" s="277" t="n">
        <x:v>46244</x:v>
      </x:c>
      <x:c r="J33" s="275" t="str">
        <x:v>After-tax proceeds in Year 5.</x:v>
      </x:c>
    </x:row>
    <x:row r="34" ht="34" customHeight="1">
      <x:c r="A34" s="278" t="str">
        <x:v>A26</x:v>
      </x:c>
      <x:c r="B34" s="278" t="str">
        <x:v>Other quantified benefit</x:v>
      </x:c>
      <x:c r="C34" s="279" t="str">
        <x:v>0</x:v>
      </x:c>
      <x:c r="D34" s="278" t="str">
        <x:v>SEK/year</x:v>
      </x:c>
      <x:c r="E34" s="278" t="str">
        <x:v>scenario</x:v>
      </x:c>
      <x:c r="F34" s="278" t="str">
        <x:v>Conservative assumption</x:v>
      </x:c>
      <x:c r="G34" s="278" t="str">
        <x:v>Project owner</x:v>
      </x:c>
      <x:c r="H34" s="280" t="str"/>
      <x:c r="I34" s="281" t="n">
        <x:v>46244</x:v>
      </x:c>
      <x:c r="J34" s="279" t="str">
        <x:v>Safety, quality and capacity benefits excluded unless evidenced.</x:v>
      </x:c>
    </x:row>
  </x:sheetData>
  <x:mergeCells>
    <x:mergeCell ref="A1:J1"/>
    <x:mergeCell ref="A2:J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24" hidden="0" customWidth="1"/>
    <x:col min="4" max="4" width="42" hidden="0" customWidth="1"/>
    <x:col min="5" max="5" width="18" hidden="0" customWidth="1"/>
    <x:col min="6" max="6" width="14" hidden="0" customWidth="1"/>
    <x:col min="7" max="7" width="14" hidden="0" customWidth="1"/>
    <x:col min="8" max="8" width="52" hidden="0" customWidth="1"/>
  </x:cols>
  <x:sheetData>
    <x:row r="1" ht="32" customHeight="1">
      <x:c r="A1" s="4" t="str">
        <x:v>07 | Model Checks and Validation</x:v>
      </x:c>
      <x:c r="B1" s="4" t="str">
        <x:v>07 | Model Checks and Validation</x:v>
      </x:c>
      <x:c r="C1" s="4" t="str">
        <x:v>07 | Model Checks and Validation</x:v>
      </x:c>
      <x:c r="D1" s="4" t="str">
        <x:v>07 | Model Checks and Validation</x:v>
      </x:c>
      <x:c r="E1" s="4" t="str">
        <x:v>07 | Model Checks and Validation</x:v>
      </x:c>
      <x:c r="F1" s="4" t="str">
        <x:v>07 | Model Checks and Validation</x:v>
      </x:c>
      <x:c r="G1" s="4" t="str">
        <x:v>07 | Model Checks and Validation</x:v>
      </x:c>
      <x:c r="H1" s="4" t="str">
        <x:v>07 | Model Checks and Validation</x:v>
      </x:c>
    </x:row>
    <x:row r="2" ht="28" customHeight="1">
      <x:c r="A2" s="9" t="str">
        <x:v>A PASS means the workbook is internally consistent. It does not validate unverified supplier or site assumptions.</x:v>
      </x:c>
      <x:c r="B2" s="9" t="str">
        <x:v>A PASS means the workbook is internally consistent. It does not validate unverified supplier or site assumptions.</x:v>
      </x:c>
      <x:c r="C2" s="9" t="str">
        <x:v>A PASS means the workbook is internally consistent. It does not validate unverified supplier or site assumptions.</x:v>
      </x:c>
      <x:c r="D2" s="9" t="str">
        <x:v>A PASS means the workbook is internally consistent. It does not validate unverified supplier or site assumptions.</x:v>
      </x:c>
      <x:c r="E2" s="9" t="str">
        <x:v>A PASS means the workbook is internally consistent. It does not validate unverified supplier or site assumptions.</x:v>
      </x:c>
      <x:c r="F2" s="9" t="str">
        <x:v>A PASS means the workbook is internally consistent. It does not validate unverified supplier or site assumptions.</x:v>
      </x:c>
      <x:c r="G2" s="9" t="str">
        <x:v>A PASS means the workbook is internally consistent. It does not validate unverified supplier or site assumptions.</x:v>
      </x:c>
      <x:c r="H2" s="9" t="str">
        <x:v>A PASS means the workbook is internally consistent. It does not validate unverified supplier or site assumptions.</x:v>
      </x:c>
    </x:row>
    <x:row r="3">
      <x:c r="A3" s="320" t="str">
        <x:v>MODEL STATUS</x:v>
      </x:c>
      <x:c r="B3" s="322" t="str">
        <x:f>IF(COUNTIF(G6:G18,"FAIL")=0,"PASS","FAIL")</x:f>
        <x:v>PASS</x:v>
      </x:c>
      <x:c r="C3" s="287"/>
      <x:c r="D3" s="287"/>
      <x:c r="E3" s="287"/>
      <x:c r="F3" s="287"/>
      <x:c r="G3" s="287"/>
      <x:c r="H3" s="287"/>
    </x:row>
    <x:row r="4">
      <x:c r="A4" s="287"/>
      <x:c r="B4" s="287"/>
      <x:c r="C4" s="287"/>
      <x:c r="D4" s="287"/>
      <x:c r="E4" s="287"/>
      <x:c r="F4" s="287"/>
      <x:c r="G4" s="287"/>
      <x:c r="H4" s="287"/>
    </x:row>
    <x:row r="5" ht="28" customHeight="1">
      <x:c r="A5" s="46" t="str">
        <x:v>Check ID</x:v>
      </x:c>
      <x:c r="B5" s="46" t="str">
        <x:v>Check</x:v>
      </x:c>
      <x:c r="C5" s="46" t="str">
        <x:v>Actual</x:v>
      </x:c>
      <x:c r="D5" s="46" t="str">
        <x:v>Expected</x:v>
      </x:c>
      <x:c r="E5" s="46" t="str">
        <x:v>Difference</x:v>
      </x:c>
      <x:c r="F5" s="46" t="str">
        <x:v>Tolerance</x:v>
      </x:c>
      <x:c r="G5" s="46" t="str">
        <x:v>Status</x:v>
      </x:c>
      <x:c r="H5" s="46" t="str">
        <x:v>Fix / Notes</x:v>
      </x:c>
    </x:row>
    <x:row r="6" ht="32" customHeight="1">
      <x:c r="A6" s="51" t="str">
        <x:v>Q1</x:v>
      </x:c>
      <x:c r="B6" s="51" t="str">
        <x:v>Scenario selector is valid</x:v>
      </x:c>
      <x:c r="C6" s="51" t="str">
        <x:f>'01_Assumptions'!$B$3</x:f>
        <x:v>Base Case</x:v>
      </x:c>
      <x:c r="D6" s="54" t="str">
        <x:f>"Downside / Base Case / Upside"</x:f>
        <x:v>Downside / Base Case / Upside</x:v>
      </x:c>
      <x:c r="E6" s="51" t="str">
        <x:f>"-"</x:f>
        <x:v>-</x:v>
      </x:c>
      <x:c r="F6" s="51" t="str">
        <x:f>"-"</x:f>
        <x:v>-</x:v>
      </x:c>
      <x:c r="G6" s="51" t="str">
        <x:f>IF(OR(C6="Downside",C6="Base Case",C6="Upside"),"OK","FAIL")</x:f>
        <x:v>OK</x:v>
      </x:c>
      <x:c r="H6" s="54" t="str">
        <x:f>"Use the validated dropdown in 01_Assumptions!B3."</x:f>
        <x:v>Use the validated dropdown in 01_Assumptions!B3.</x:v>
      </x:c>
    </x:row>
    <x:row r="7" ht="32" customHeight="1">
      <x:c r="A7" s="52" t="str">
        <x:v>Q2</x:v>
      </x:c>
      <x:c r="B7" s="52" t="str">
        <x:v>Evaluation horizon equals five years</x:v>
      </x:c>
      <x:c r="C7" s="52" t="n">
        <x:f>'01_Assumptions'!$J$6</x:f>
        <x:v>5</x:v>
      </x:c>
      <x:c r="D7" s="55" t="n">
        <x:f>5</x:f>
        <x:v>5</x:v>
      </x:c>
      <x:c r="E7" s="52" t="n">
        <x:f>C7-D7</x:f>
        <x:v>0</x:v>
      </x:c>
      <x:c r="F7" s="52" t="n">
        <x:f>0</x:f>
        <x:v>0</x:v>
      </x:c>
      <x:c r="G7" s="52" t="str">
        <x:f>IF(ABS(E7)&lt;=F7,"OK","FAIL")</x:f>
        <x:v>OK</x:v>
      </x:c>
      <x:c r="H7" s="55" t="str">
        <x:f>"Fix the active horizon assumption."</x:f>
        <x:v>Fix the active horizon assumption.</x:v>
      </x:c>
    </x:row>
    <x:row r="8" ht="32" customHeight="1">
      <x:c r="A8" s="52" t="str">
        <x:v>Q3</x:v>
      </x:c>
      <x:c r="B8" s="52" t="str">
        <x:v>Initial installed capex is negative</x:v>
      </x:c>
      <x:c r="C8" s="52" t="n">
        <x:f>'02_Cash_Flow'!$C$30</x:f>
        <x:v>-1732500</x:v>
      </x:c>
      <x:c r="D8" s="55" t="str">
        <x:f>"&lt;0"</x:f>
        <x:v>&lt;0</x:v>
      </x:c>
      <x:c r="E8" s="52" t="n">
        <x:f>C8</x:f>
        <x:v>-1732500</x:v>
      </x:c>
      <x:c r="F8" s="52" t="n">
        <x:f>0</x:f>
        <x:v>0</x:v>
      </x:c>
      <x:c r="G8" s="52" t="str">
        <x:f>IF(C8&lt;0,"OK","FAIL")</x:f>
        <x:v>OK</x:v>
      </x:c>
      <x:c r="H8" s="55" t="str">
        <x:f>"Check capex signs in 02_Cash_Flow."</x:f>
        <x:v>Check capex signs in 02_Cash_Flow.</x:v>
      </x:c>
    </x:row>
    <x:row r="9" ht="32" customHeight="1">
      <x:c r="A9" s="52" t="str">
        <x:v>Q4</x:v>
      </x:c>
      <x:c r="B9" s="52" t="str">
        <x:v>Cash flows contain at least one negative and one positive value</x:v>
      </x:c>
      <x:c r="C9" s="52" t="n">
        <x:f>IF(COUNTIF('02_Cash_Flow'!$C$36:$H$36,"&lt;0")&gt;=1,1,0)+IF(COUNTIF('02_Cash_Flow'!$C$36:$H$36,"&gt;0")&gt;=1,1,0)</x:f>
        <x:v>2</x:v>
      </x:c>
      <x:c r="D9" s="55" t="n">
        <x:f>2</x:f>
        <x:v>2</x:v>
      </x:c>
      <x:c r="E9" s="52" t="n">
        <x:f>C9-D9</x:f>
        <x:v>0</x:v>
      </x:c>
      <x:c r="F9" s="52" t="n">
        <x:f>0</x:f>
        <x:v>0</x:v>
      </x:c>
      <x:c r="G9" s="52" t="str">
        <x:f>IF(AND(COUNTIF('02_Cash_Flow'!$C$36:$H$36,"&lt;0")&gt;=1,COUNTIF('02_Cash_Flow'!$C$36:$H$36,"&gt;0")&gt;=1),"OK","FAIL")</x:f>
        <x:v>OK</x:v>
      </x:c>
      <x:c r="H9" s="55" t="str">
        <x:f>"Needed for a meaningful IRR sign pattern."</x:f>
        <x:v>Needed for a meaningful IRR sign pattern.</x:v>
      </x:c>
    </x:row>
    <x:row r="10" ht="32" customHeight="1">
      <x:c r="A10" s="52" t="str">
        <x:v>Q5</x:v>
      </x:c>
      <x:c r="B10" s="52" t="str">
        <x:v>NPV output ties to present-value row</x:v>
      </x:c>
      <x:c r="C10" s="126" t="n">
        <x:f>'02_Cash_Flow'!$K$9</x:f>
        <x:v>1453054.562087467</x:v>
      </x:c>
      <x:c r="D10" s="285" t="n">
        <x:f>SUM('02_Cash_Flow'!$C$38:$H$38)</x:f>
        <x:v>1453054.562087467</x:v>
      </x:c>
      <x:c r="E10" s="126" t="n">
        <x:f>C10-D10</x:f>
        <x:v>0</x:v>
      </x:c>
      <x:c r="F10" s="126" t="n">
        <x:f>1</x:f>
        <x:v>1</x:v>
      </x:c>
      <x:c r="G10" s="52" t="str">
        <x:f>IF(ABS(E10)&lt;=F10,"OK","FAIL")</x:f>
        <x:v>OK</x:v>
      </x:c>
      <x:c r="H10" s="55" t="str">
        <x:f>"Trace the NPV and PV rows."</x:f>
        <x:v>Trace the NPV and PV rows.</x:v>
      </x:c>
    </x:row>
    <x:row r="11" ht="32" customHeight="1">
      <x:c r="A11" s="52" t="str">
        <x:v>Q6</x:v>
      </x:c>
      <x:c r="B11" s="52" t="str">
        <x:v>Year 1 free cash flow ties to EBITDA, tax and salvage</x:v>
      </x:c>
      <x:c r="C11" s="126" t="n">
        <x:f>'02_Cash_Flow'!$D$36</x:f>
        <x:v>745830.39</x:v>
      </x:c>
      <x:c r="D11" s="285" t="n">
        <x:f>'02_Cash_Flow'!$D$32-'02_Cash_Flow'!$D$34+'02_Cash_Flow'!$D$35</x:f>
        <x:v>745830.39</x:v>
      </x:c>
      <x:c r="E11" s="126" t="n">
        <x:f>C11-D11</x:f>
        <x:v>0</x:v>
      </x:c>
      <x:c r="F11" s="126" t="n">
        <x:f>1</x:f>
        <x:v>1</x:v>
      </x:c>
      <x:c r="G11" s="52" t="str">
        <x:f>IF(ABS(E11)&lt;=F11,"OK","FAIL")</x:f>
        <x:v>OK</x:v>
      </x:c>
      <x:c r="H11" s="55" t="str">
        <x:f>"Check EBITDA, tax and salvage formulas."</x:f>
        <x:v>Check EBITDA, tax and salvage formulas.</x:v>
      </x:c>
    </x:row>
    <x:row r="12" ht="32" customHeight="1">
      <x:c r="A12" s="52" t="str">
        <x:v>Q7</x:v>
      </x:c>
      <x:c r="B12" s="52" t="str">
        <x:v>Payload headroom is non-negative</x:v>
      </x:c>
      <x:c r="C12" s="133" t="n">
        <x:f>'02_Cash_Flow'!$K$16</x:f>
        <x:v>3</x:v>
      </x:c>
      <x:c r="D12" s="286" t="n">
        <x:f>0</x:f>
        <x:v>0</x:v>
      </x:c>
      <x:c r="E12" s="133" t="n">
        <x:f>C12-D12</x:f>
        <x:v>3</x:v>
      </x:c>
      <x:c r="F12" s="133" t="n">
        <x:f>0</x:f>
        <x:v>0</x:v>
      </x:c>
      <x:c r="G12" s="52" t="str">
        <x:f>IF(C12&gt;=D12,"OK","FAIL")</x:f>
        <x:v>OK</x:v>
      </x:c>
      <x:c r="H12" s="55" t="str">
        <x:f>"Reduce combined load or select another robot/tool."</x:f>
        <x:v>Reduce combined load or select another robot/tool.</x:v>
      </x:c>
    </x:row>
    <x:row r="13" ht="32" customHeight="1">
      <x:c r="A13" s="52" t="str">
        <x:v>Q8</x:v>
      </x:c>
      <x:c r="B13" s="52" t="str">
        <x:v>Throughput headroom is non-negative</x:v>
      </x:c>
      <x:c r="C13" s="252" t="n">
        <x:f>'02_Cash_Flow'!$K$17</x:f>
        <x:v>0.13636363636363646</x:v>
      </x:c>
      <x:c r="D13" s="266" t="n">
        <x:f>0</x:f>
        <x:v>0</x:v>
      </x:c>
      <x:c r="E13" s="252" t="n">
        <x:f>C13-D13</x:f>
        <x:v>0.13636363636363646</x:v>
      </x:c>
      <x:c r="F13" s="252" t="n">
        <x:f>0</x:f>
        <x:v>0</x:v>
      </x:c>
      <x:c r="G13" s="52" t="str">
        <x:f>IF(C13&gt;=D13,"OK","FAIL")</x:f>
        <x:v>OK</x:v>
      </x:c>
      <x:c r="H13" s="55" t="str">
        <x:f>"Validate cycle time and required line rate."</x:f>
        <x:v>Validate cycle time and required line rate.</x:v>
      </x:c>
    </x:row>
    <x:row r="14" ht="32" customHeight="1">
      <x:c r="A14" s="52" t="str">
        <x:v>Q9</x:v>
      </x:c>
      <x:c r="B14" s="52" t="str">
        <x:v>Selected-scenario NPV ties to scenario sheet</x:v>
      </x:c>
      <x:c r="C14" s="126" t="n">
        <x:f>'02_Cash_Flow'!$K$9</x:f>
        <x:v>1453054.562087467</x:v>
      </x:c>
      <x:c r="D14" s="285" t="n">
        <x:f>IF('01_Assumptions'!$B$3="Downside",'03_Scenarios'!$D$5,IF('01_Assumptions'!$B$3="Base Case",'03_Scenarios'!$D$6,'03_Scenarios'!$D$7))</x:f>
        <x:v>1453054.5620874665</x:v>
      </x:c>
      <x:c r="E14" s="126" t="n">
        <x:f>C14-D14</x:f>
        <x:v>4.656612873077393e-10</x:v>
      </x:c>
      <x:c r="F14" s="126" t="n">
        <x:f>1</x:f>
        <x:v>1</x:v>
      </x:c>
      <x:c r="G14" s="52" t="str">
        <x:f>IF(ABS(E14)&lt;=F14,"OK","FAIL")</x:f>
        <x:v>OK</x:v>
      </x:c>
      <x:c r="H14" s="55" t="str">
        <x:f>"Compare selected and fixed-scenario formulas."</x:f>
        <x:v>Compare selected and fixed-scenario formulas.</x:v>
      </x:c>
    </x:row>
    <x:row r="15" ht="32" customHeight="1">
      <x:c r="A15" s="52" t="str">
        <x:v>Q10</x:v>
      </x:c>
      <x:c r="B15" s="52" t="str">
        <x:v>Base sensitivity point ties to base scenario NPV</x:v>
      </x:c>
      <x:c r="C15" s="126" t="n">
        <x:f>'04_Sensitivity'!$D$8</x:f>
        <x:v>1453054.5620874662</x:v>
      </x:c>
      <x:c r="D15" s="285" t="n">
        <x:f>'03_Scenarios'!$D$6</x:f>
        <x:v>1453054.5620874665</x:v>
      </x:c>
      <x:c r="E15" s="126" t="n">
        <x:f>ROUND(C15-D15,0)</x:f>
        <x:v>0</x:v>
      </x:c>
      <x:c r="F15" s="126" t="n">
        <x:f>1</x:f>
        <x:v>1</x:v>
      </x:c>
      <x:c r="G15" s="52" t="str">
        <x:f>IF(ABS(E15)&lt;=F15,"OK","FAIL")</x:f>
        <x:v>OK</x:v>
      </x:c>
      <x:c r="H15" s="55" t="str">
        <x:f>"Check base driver combination in 04_Sensitivity."</x:f>
        <x:v>Check base driver combination in 04_Sensitivity.</x:v>
      </x:c>
    </x:row>
    <x:row r="16" ht="32" customHeight="1">
      <x:c r="A16" s="52" t="str">
        <x:v>Q11</x:v>
      </x:c>
      <x:c r="B16" s="52" t="str">
        <x:v>Required scenario inputs are populated</x:v>
      </x:c>
      <x:c r="C16" s="52" t="n">
        <x:f>COUNTBLANK('01_Assumptions'!$D$6:$F$36)</x:f>
        <x:v>0</x:v>
      </x:c>
      <x:c r="D16" s="55" t="n">
        <x:f>0</x:f>
        <x:v>0</x:v>
      </x:c>
      <x:c r="E16" s="52" t="n">
        <x:f>C16-D16</x:f>
        <x:v>0</x:v>
      </x:c>
      <x:c r="F16" s="52" t="n">
        <x:f>0</x:f>
        <x:v>0</x:v>
      </x:c>
      <x:c r="G16" s="52" t="str">
        <x:f>IF(C16=D16,"OK","FAIL")</x:f>
        <x:v>OK</x:v>
      </x:c>
      <x:c r="H16" s="55" t="str">
        <x:f>"Populate all scenario inputs."</x:f>
        <x:v>Populate all scenario inputs.</x:v>
      </x:c>
    </x:row>
    <x:row r="17" ht="32" customHeight="1">
      <x:c r="A17" s="52" t="str">
        <x:v>Q12</x:v>
      </x:c>
      <x:c r="B17" s="52" t="str">
        <x:v>Source IDs are populated</x:v>
      </x:c>
      <x:c r="C17" s="52" t="n">
        <x:f>COUNTBLANK('01_Assumptions'!$H$6:$H$36)</x:f>
        <x:v>0</x:v>
      </x:c>
      <x:c r="D17" s="55" t="n">
        <x:f>0</x:f>
        <x:v>0</x:v>
      </x:c>
      <x:c r="E17" s="52" t="n">
        <x:f>C17-D17</x:f>
        <x:v>0</x:v>
      </x:c>
      <x:c r="F17" s="52" t="n">
        <x:f>0</x:f>
        <x:v>0</x:v>
      </x:c>
      <x:c r="G17" s="52" t="str">
        <x:f>IF(C17=D17,"OK","FAIL")</x:f>
        <x:v>OK</x:v>
      </x:c>
      <x:c r="H17" s="55" t="str">
        <x:f>"Add missing source IDs."</x:f>
        <x:v>Add missing source IDs.</x:v>
      </x:c>
    </x:row>
    <x:row r="18" ht="32" customHeight="1">
      <x:c r="A18" s="53" t="str">
        <x:v>Q13</x:v>
      </x:c>
      <x:c r="B18" s="53" t="str">
        <x:v>Recommendation output is valid</x:v>
      </x:c>
      <x:c r="C18" s="53" t="str">
        <x:f>'02_Cash_Flow'!$K$18</x:f>
        <x:v>INVEST NOW</x:v>
      </x:c>
      <x:c r="D18" s="56" t="str">
        <x:f>"INVEST NOW / RUN PILOT / RETAIN MANUAL"</x:f>
        <x:v>INVEST NOW / RUN PILOT / RETAIN MANUAL</x:v>
      </x:c>
      <x:c r="E18" s="53" t="str">
        <x:f>"-"</x:f>
        <x:v>-</x:v>
      </x:c>
      <x:c r="F18" s="53" t="str">
        <x:f>"-"</x:f>
        <x:v>-</x:v>
      </x:c>
      <x:c r="G18" s="53" t="str">
        <x:f>IF(OR(C18="INVEST NOW",C18="RUN PILOT",C18="RETAIN MANUAL"),"OK","FAIL")</x:f>
        <x:v>OK</x:v>
      </x:c>
      <x:c r="H18" s="56" t="str">
        <x:f>"Check the decision rule."</x:f>
        <x:v>Check the decision rule.</x:v>
      </x:c>
    </x:row>
    <x:row r="19">
      <x:c r="A19" s="287"/>
      <x:c r="B19" s="287"/>
      <x:c r="C19" s="287"/>
      <x:c r="D19" s="287"/>
      <x:c r="E19" s="287"/>
      <x:c r="F19" s="287"/>
      <x:c r="G19" s="287"/>
      <x:c r="H19" s="287"/>
    </x:row>
    <x:row r="20" ht="22" customHeight="1">
      <x:c r="A20" s="13" t="str">
        <x:v>VALIDATION ASSESSMENT</x:v>
      </x:c>
      <x:c r="B20" s="13" t="str">
        <x:v>VALIDATION ASSESSMENT</x:v>
      </x:c>
      <x:c r="C20" s="13" t="str">
        <x:v>VALIDATION ASSESSMENT</x:v>
      </x:c>
      <x:c r="D20" s="13" t="str">
        <x:v>VALIDATION ASSESSMENT</x:v>
      </x:c>
      <x:c r="E20" s="13" t="str">
        <x:v>VALIDATION ASSESSMENT</x:v>
      </x:c>
      <x:c r="F20" s="13" t="str">
        <x:v>VALIDATION ASSESSMENT</x:v>
      </x:c>
      <x:c r="G20" s="13" t="str">
        <x:v>VALIDATION ASSESSMENT</x:v>
      </x:c>
      <x:c r="H20" s="13" t="str">
        <x:v>VALIDATION ASSESSMENT</x:v>
      </x:c>
    </x:row>
    <x:row r="21" ht="72" customHeight="1">
      <x:c r="A21" s="60" t="str">
        <x:v>Internal calculation status can be PASS while the investment recommendation remains provisional. Before external publication, describe capex, uptime, cycle rate and labor realization as transparent scenario assumptions. Before an actual purchase, replace them with a supplier quote, site time study and owner-approved labor-cost logic.</x:v>
      </x:c>
      <x:c r="B21" s="60" t="str">
        <x:v>Internal calculation status can be PASS while the investment recommendation remains provisional. Before external publication, describe capex, uptime, cycle rate and labor realization as transparent scenario assumptions. Before an actual purchase, replace them with a supplier quote, site time study and owner-approved labor-cost logic.</x:v>
      </x:c>
      <x:c r="C21" s="60" t="str">
        <x:v>Internal calculation status can be PASS while the investment recommendation remains provisional. Before external publication, describe capex, uptime, cycle rate and labor realization as transparent scenario assumptions. Before an actual purchase, replace them with a supplier quote, site time study and owner-approved labor-cost logic.</x:v>
      </x:c>
      <x:c r="D21" s="60" t="str">
        <x:v>Internal calculation status can be PASS while the investment recommendation remains provisional. Before external publication, describe capex, uptime, cycle rate and labor realization as transparent scenario assumptions. Before an actual purchase, replace them with a supplier quote, site time study and owner-approved labor-cost logic.</x:v>
      </x:c>
      <x:c r="E21" s="60" t="str">
        <x:v>Internal calculation status can be PASS while the investment recommendation remains provisional. Before external publication, describe capex, uptime, cycle rate and labor realization as transparent scenario assumptions. Before an actual purchase, replace them with a supplier quote, site time study and owner-approved labor-cost logic.</x:v>
      </x:c>
      <x:c r="F21" s="60" t="str">
        <x:v>Internal calculation status can be PASS while the investment recommendation remains provisional. Before external publication, describe capex, uptime, cycle rate and labor realization as transparent scenario assumptions. Before an actual purchase, replace them with a supplier quote, site time study and owner-approved labor-cost logic.</x:v>
      </x:c>
      <x:c r="G21" s="60" t="str">
        <x:v>Internal calculation status can be PASS while the investment recommendation remains provisional. Before external publication, describe capex, uptime, cycle rate and labor realization as transparent scenario assumptions. Before an actual purchase, replace them with a supplier quote, site time study and owner-approved labor-cost logic.</x:v>
      </x:c>
      <x:c r="H21" s="60" t="str">
        <x:v>Internal calculation status can be PASS while the investment recommendation remains provisional. Before external publication, describe capex, uptime, cycle rate and labor realization as transparent scenario assumptions. Before an actual purchase, replace them with a supplier quote, site time study and owner-approved labor-cost logic.</x:v>
      </x:c>
    </x:row>
  </x:sheetData>
  <x:mergeCells>
    <x:mergeCell ref="A1:H1"/>
    <x:mergeCell ref="A2:H2"/>
    <x:mergeCell ref="A20:H20"/>
    <x:mergeCell ref="A21:H21"/>
  </x:mergeCells>
  <x:conditionalFormatting sqref="B3:B3">
    <x:cfRule type="containsText" dxfId="13" priority="1" operator="containsText" text="FAIL"/>
  </x:conditionalFormatting>
  <x:conditionalFormatting sqref="G6:G18">
    <x:cfRule type="containsText" dxfId="14" priority="2" operator="containsText" text="OK"/>
    <x:cfRule type="containsText" dxfId="15" priority="3" operator="containsText" text="FAIL"/>
  </x:conditionalFormatting>
  <x:pageMargins left="0.7" right="0.7" top="0.75" bottom="0.75" header="0.3" footer="0.3"/>
</x:worksheet>
</file>